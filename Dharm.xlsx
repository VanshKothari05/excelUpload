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DPLStock" sheetId="1" r:id="rId1"/>
  </sheets>
  <calcPr fullCalcOnLoad="1"/>
</workbook>
</file>

<file path=xl/sharedStrings.xml><?xml version="1.0" encoding="utf-8"?>
<sst xmlns="http://schemas.openxmlformats.org/spreadsheetml/2006/main" count="766" uniqueCount="766">
  <si>
    <t>Total :</t>
  </si>
  <si>
    <t>SrNo</t>
  </si>
  <si>
    <t>StockRef</t>
  </si>
  <si>
    <t>Cert</t>
  </si>
  <si>
    <t>Shape</t>
  </si>
  <si>
    <t>Size</t>
  </si>
  <si>
    <t>DispColor</t>
  </si>
  <si>
    <t>DispClarity</t>
  </si>
  <si>
    <t>Cut</t>
  </si>
  <si>
    <t>Polish</t>
  </si>
  <si>
    <t>Sym</t>
  </si>
  <si>
    <t>Flour</t>
  </si>
  <si>
    <t>Disc</t>
  </si>
  <si>
    <t>RapRate</t>
  </si>
  <si>
    <t>PPC</t>
  </si>
  <si>
    <t>Total</t>
  </si>
  <si>
    <t>Location</t>
  </si>
  <si>
    <t>M1</t>
  </si>
  <si>
    <t>M2</t>
  </si>
  <si>
    <t>M3</t>
  </si>
  <si>
    <t>ReportNo</t>
  </si>
  <si>
    <t>Ratio</t>
  </si>
  <si>
    <t>Depth</t>
  </si>
  <si>
    <t>Table</t>
  </si>
  <si>
    <t>IsBGM</t>
  </si>
  <si>
    <t>Eyeclean</t>
  </si>
  <si>
    <t>Natts</t>
  </si>
  <si>
    <t>sideNatts</t>
  </si>
  <si>
    <t>Comment</t>
  </si>
  <si>
    <t>HnA</t>
  </si>
  <si>
    <t>OpenT</t>
  </si>
  <si>
    <t>OpenC</t>
  </si>
  <si>
    <t>OpenG</t>
  </si>
  <si>
    <t>OpenP</t>
  </si>
  <si>
    <t>RapTotal</t>
  </si>
  <si>
    <t>VideoURL</t>
  </si>
  <si>
    <t>CertURL</t>
  </si>
  <si>
    <t>carbon</t>
  </si>
  <si>
    <t>hand</t>
  </si>
  <si>
    <t>tweezer</t>
  </si>
  <si>
    <t>proportion</t>
  </si>
  <si>
    <t>IsPlotImg</t>
  </si>
  <si>
    <t>PolishVdo</t>
  </si>
  <si>
    <t>v360Vdo</t>
  </si>
  <si>
    <t>DetailURL</t>
  </si>
  <si>
    <t>YSUCT009</t>
  </si>
  <si>
    <t>GIA</t>
  </si>
  <si>
    <t>ROUND</t>
  </si>
  <si>
    <t>D -</t>
  </si>
  <si>
    <t>VS2</t>
  </si>
  <si>
    <t>EX</t>
  </si>
  <si>
    <t>NONE</t>
  </si>
  <si>
    <t>US</t>
  </si>
  <si>
    <t>2536802668</t>
  </si>
  <si>
    <t>NO</t>
  </si>
  <si>
    <t>Yes</t>
  </si>
  <si>
    <t>No</t>
  </si>
  <si>
    <t>Minor</t>
  </si>
  <si>
    <t>Crystal, Feather, Pinpoint</t>
  </si>
  <si>
    <t>Video</t>
  </si>
  <si>
    <t>https://media.mydiamonds.info/certificate/2536802668_3C7701D9A6C9FB2F005AAFBAC994AA07</t>
  </si>
  <si>
    <t>https://media.mydiamonds.info/WF/YSUCT009.jpg?theme=light</t>
  </si>
  <si>
    <t>Detail</t>
  </si>
  <si>
    <t>YSBZP125</t>
  </si>
  <si>
    <t>VS2 +</t>
  </si>
  <si>
    <t>1232700902</t>
  </si>
  <si>
    <t>Crystal, Feather, Needle, Pinpoint</t>
  </si>
  <si>
    <t>https://media.mydiamonds.info/certificate/1232700902_5039798079B44C9A0760CDB911A0C1EF</t>
  </si>
  <si>
    <t>https://media.mydiamonds.info/WF/YSBZP125.jpg?theme=light</t>
  </si>
  <si>
    <t>YSNRR133</t>
  </si>
  <si>
    <t>VVS2</t>
  </si>
  <si>
    <t>6237793669</t>
  </si>
  <si>
    <t>Pinpoint, Needle</t>
  </si>
  <si>
    <t>VG</t>
  </si>
  <si>
    <t>https://media.mydiamonds.info/certificate/6237793669_BB23144762CD8ACC838E6D47876874BA</t>
  </si>
  <si>
    <t>https://media.mydiamonds.info/WF/YSNRR133.jpg?theme=light</t>
  </si>
  <si>
    <t>YSCHH013</t>
  </si>
  <si>
    <t>1545162241</t>
  </si>
  <si>
    <t>Pinpoint</t>
  </si>
  <si>
    <t>https://media.mydiamonds.info/certificate/1545162241_E2B2083E8954B02BF732E220E8095FDF</t>
  </si>
  <si>
    <t>https://media.mydiamonds.info/WF/YSCHH013.jpg?theme=light</t>
  </si>
  <si>
    <t>YSCIM006</t>
  </si>
  <si>
    <t>7541243413</t>
  </si>
  <si>
    <t>https://media.mydiamonds.info/certificate/7541243413_984BDA0DA4AFB8B950C19FB8EF0922BE</t>
  </si>
  <si>
    <t>https://media.mydiamonds.info/WF/YSCIM006.jpg?theme=light</t>
  </si>
  <si>
    <t>YSUDO004</t>
  </si>
  <si>
    <t>D</t>
  </si>
  <si>
    <t>2546196156</t>
  </si>
  <si>
    <t>https://media.mydiamonds.info/certificate/2546196156_5349CD99B55A703761333BEB1CB2DA23</t>
  </si>
  <si>
    <t>https://media.mydiamonds.info/WF/YSUDO004.jpg?theme=light</t>
  </si>
  <si>
    <t>YSNBT083</t>
  </si>
  <si>
    <t>VVS1</t>
  </si>
  <si>
    <t>1535089911</t>
  </si>
  <si>
    <t>Pinpoint, Feather</t>
  </si>
  <si>
    <t>https://media.mydiamonds.info/certificate/1535089911_F0656AE1E837F21EE3B6CB00D2106549</t>
  </si>
  <si>
    <t>https://media.mydiamonds.info/WF/YSNBT083.jpg?theme=light</t>
  </si>
  <si>
    <t>YSUDQ047</t>
  </si>
  <si>
    <t>VVS2 -</t>
  </si>
  <si>
    <t>6542194494</t>
  </si>
  <si>
    <t>Needle, Pinpoint, Feather</t>
  </si>
  <si>
    <t>https://media.mydiamonds.info/certificate/6542194494_5EECE8DE5CA12AA8946911BB5DAAB937</t>
  </si>
  <si>
    <t>https://media.mydiamonds.info/WF/YSUDQ047.jpg?theme=light</t>
  </si>
  <si>
    <t>YSBXY119</t>
  </si>
  <si>
    <t>2534268784</t>
  </si>
  <si>
    <t>Feather, Needle</t>
  </si>
  <si>
    <t>G</t>
  </si>
  <si>
    <t>https://media.mydiamonds.info/certificate/2534268784_3A2260AE73EDFD512D40B086E5C3F9E9</t>
  </si>
  <si>
    <t>https://media.mydiamonds.info/WF/YSBXY119.jpg?theme=light</t>
  </si>
  <si>
    <t>YSCBQ088</t>
  </si>
  <si>
    <t>6237715654</t>
  </si>
  <si>
    <t>Needle, Pinpoint</t>
  </si>
  <si>
    <t>https://media.mydiamonds.info/certificate/6237715654_84627D0CE86BB00D870BEB648DA9A744</t>
  </si>
  <si>
    <t>https://media.mydiamonds.info/WF/YSCBQ088.jpg?theme=light</t>
  </si>
  <si>
    <t>YSCCC020</t>
  </si>
  <si>
    <t>6233722289</t>
  </si>
  <si>
    <t>Cloud, Pinpoint</t>
  </si>
  <si>
    <t>https://media.mydiamonds.info/certificate/6233722289_65E57EC56A74315E3895A497BEF7CC4A</t>
  </si>
  <si>
    <t>https://media.mydiamonds.info/WF/YSCCC020.jpg?theme=light</t>
  </si>
  <si>
    <t>YSUDV008</t>
  </si>
  <si>
    <t>E -</t>
  </si>
  <si>
    <t>VS1</t>
  </si>
  <si>
    <t>5546250740</t>
  </si>
  <si>
    <t>Cloud, Needle, Pinpoint, Natural</t>
  </si>
  <si>
    <t>Medium</t>
  </si>
  <si>
    <t>https://media.mydiamonds.info/certificate/5546250740_2B83FC645E35FFCB9EA15CBB0258B037</t>
  </si>
  <si>
    <t>https://media.mydiamonds.info/WF/YSUDV008.jpg?theme=light</t>
  </si>
  <si>
    <t>YSBOH023</t>
  </si>
  <si>
    <t>VVS1 -</t>
  </si>
  <si>
    <t>2526208507</t>
  </si>
  <si>
    <t>https://media.mydiamonds.info/certificate/2526208507_37D27E2FC20E2D7ABCD2C16B59177F5A</t>
  </si>
  <si>
    <t>https://media.mydiamonds.info/WF/YSBOH023.jpg?theme=light</t>
  </si>
  <si>
    <t>YSCHN019</t>
  </si>
  <si>
    <t>5546111027</t>
  </si>
  <si>
    <t>https://media.mydiamonds.info/certificate/5546111027_B79050E1BEF085585B118D692088C8EB</t>
  </si>
  <si>
    <t>https://media.mydiamonds.info/WF/YSCHN019.jpg?theme=light</t>
  </si>
  <si>
    <t>YSUCJ003</t>
  </si>
  <si>
    <t>E</t>
  </si>
  <si>
    <t>5231768259</t>
  </si>
  <si>
    <t>https://media.mydiamonds.info/certificate/5231768259_AC953D5166B01B7EF81DBEF2F325884B</t>
  </si>
  <si>
    <t>https://media.mydiamonds.info/WF/YSUCJ003.jpg?theme=light</t>
  </si>
  <si>
    <t>YSCGT036</t>
  </si>
  <si>
    <t>VS2 -</t>
  </si>
  <si>
    <t>5533914277</t>
  </si>
  <si>
    <t>Crystal, Feather, Cloud, Needle</t>
  </si>
  <si>
    <t>https://media.mydiamonds.info/certificate/5533914277_0DB29167DD21143E9FF605C41781C050</t>
  </si>
  <si>
    <t>https://media.mydiamonds.info/WF/YSCGT036.jpg?theme=light</t>
  </si>
  <si>
    <t>YSUCR045</t>
  </si>
  <si>
    <t>7531798769</t>
  </si>
  <si>
    <t>Crystal, Needle</t>
  </si>
  <si>
    <t>https://media.mydiamonds.info/certificate/7531798769_62CE823D1C696D107622FBD495C0E53E</t>
  </si>
  <si>
    <t>https://media.mydiamonds.info/WF/YSUCR045.jpg?theme=light</t>
  </si>
  <si>
    <t>YSUDK035</t>
  </si>
  <si>
    <t>5543050901</t>
  </si>
  <si>
    <t>https://media.mydiamonds.info/certificate/5543050901_531F93EA758D1197C550FC4921CEBFD9</t>
  </si>
  <si>
    <t>https://media.mydiamonds.info/WF/YSUDK035.jpg?theme=light</t>
  </si>
  <si>
    <t>YSUCC077</t>
  </si>
  <si>
    <t>1232745214</t>
  </si>
  <si>
    <t>Cloud, Feather, Crystal, Indented Natural, Natural</t>
  </si>
  <si>
    <t>https://media.mydiamonds.info/certificate/1232745214_B33A594C146AECE40A95D395B4FBAD49</t>
  </si>
  <si>
    <t>https://media.mydiamonds.info/WF/YSUCC077.jpg?theme=light</t>
  </si>
  <si>
    <t>YSBEI099</t>
  </si>
  <si>
    <t>6512576712</t>
  </si>
  <si>
    <t>https://media.mydiamonds.info/certificate/6512576712_6D39E809AAB39D771056346EF40C606F</t>
  </si>
  <si>
    <t>https://media.mydiamonds.info/WF/YSBEI099.jpg?theme=light</t>
  </si>
  <si>
    <t>YSCHH030</t>
  </si>
  <si>
    <t>2546162384</t>
  </si>
  <si>
    <t>https://media.mydiamonds.info/certificate/2546162384_920B8CDF7760A85C21861F79E265030B</t>
  </si>
  <si>
    <t>https://media.mydiamonds.info/WF/YSCHH030.jpg?theme=light</t>
  </si>
  <si>
    <t>YSCHZ060</t>
  </si>
  <si>
    <t>2547183986</t>
  </si>
  <si>
    <t>Feather</t>
  </si>
  <si>
    <t>https://media.mydiamonds.info/certificate/2547183986_DCBCA4B26359C772AFC1F240585AC9F7</t>
  </si>
  <si>
    <t>https://media.mydiamonds.info/WF/YSCHZ060.jpg?theme=light</t>
  </si>
  <si>
    <t>YSCFB049</t>
  </si>
  <si>
    <t>2235748917</t>
  </si>
  <si>
    <t>https://media.mydiamonds.info/certificate/2235748917_07FAECE98D3D7A904C20AEDE7770952F</t>
  </si>
  <si>
    <t>https://media.mydiamonds.info/WF/YSCFB049.jpg?theme=light</t>
  </si>
  <si>
    <t>YSBBC038</t>
  </si>
  <si>
    <t>7512311982</t>
  </si>
  <si>
    <t>Cloud, Feather</t>
  </si>
  <si>
    <t>https://media.mydiamonds.info/certificate/7512311982_C6537DCEC1BAFCDC797D0DE1CA830DD0</t>
  </si>
  <si>
    <t>https://media.mydiamonds.info/WF/YSBBC038.jpg?theme=light</t>
  </si>
  <si>
    <t>YSBFW145</t>
  </si>
  <si>
    <t>E +</t>
  </si>
  <si>
    <t>5516650641</t>
  </si>
  <si>
    <t>https://media.mydiamonds.info/certificate/5516650641_A3917F9F92279C2419EE3FD6458CEED6</t>
  </si>
  <si>
    <t>https://media.mydiamonds.info/WF/YSBFW145.jpg?theme=light</t>
  </si>
  <si>
    <t>YSBVN064</t>
  </si>
  <si>
    <t>F</t>
  </si>
  <si>
    <t>1236660029</t>
  </si>
  <si>
    <t>https://media.mydiamonds.info/certificate/1236660029_7DB1B22DDF9BF69B64FFF612E457209A</t>
  </si>
  <si>
    <t>https://media.mydiamonds.info/WF/YSBVN064.jpg?theme=light</t>
  </si>
  <si>
    <t>YSCBQ073</t>
  </si>
  <si>
    <t>2235715718</t>
  </si>
  <si>
    <t>https://media.mydiamonds.info/certificate/2235715718_35A2C59325A270DFE2D40E22F99DF816</t>
  </si>
  <si>
    <t>https://media.mydiamonds.info/WF/YSCBQ073.jpg?theme=light</t>
  </si>
  <si>
    <t>YSCCC009</t>
  </si>
  <si>
    <t>1232720639</t>
  </si>
  <si>
    <t>Cloud</t>
  </si>
  <si>
    <t>https://media.mydiamonds.info/certificate/1232720639_E3EC1D10817FDC401B025A4CEB92E424</t>
  </si>
  <si>
    <t>https://media.mydiamonds.info/WF/YSCCC009.jpg?theme=light</t>
  </si>
  <si>
    <t>YSUDG083</t>
  </si>
  <si>
    <t>5533914295</t>
  </si>
  <si>
    <t>Cloud, Crystal, Needle</t>
  </si>
  <si>
    <t>https://media.mydiamonds.info/certificate/5533914295_281FFED947FE593D78EC43AD15F6276A</t>
  </si>
  <si>
    <t>https://media.mydiamonds.info/WF/YSUDG083.jpg?theme=light</t>
  </si>
  <si>
    <t>YSCAE062</t>
  </si>
  <si>
    <t>6535432624</t>
  </si>
  <si>
    <t>https://media.mydiamonds.info/certificate/6535432624_E2E6E55EA707F9D454E69427314094C2</t>
  </si>
  <si>
    <t>https://media.mydiamonds.info/WF/YSCAE062.jpg?theme=light</t>
  </si>
  <si>
    <t>YSCID014</t>
  </si>
  <si>
    <t>F -</t>
  </si>
  <si>
    <t>2546183747</t>
  </si>
  <si>
    <t>https://media.mydiamonds.info/certificate/2546183747_D48AD34309E36DC75C9A6593333C4E7D</t>
  </si>
  <si>
    <t>https://media.mydiamonds.info/WF/YSCID014.jpg?theme=light</t>
  </si>
  <si>
    <t>YSCFO053</t>
  </si>
  <si>
    <t>6237751315</t>
  </si>
  <si>
    <t>https://media.mydiamonds.info/certificate/6237751315_C848DCC8DA3AD94586B6ED83D162EA24</t>
  </si>
  <si>
    <t>https://media.mydiamonds.info/WF/YSCFO053.jpg?theme=light</t>
  </si>
  <si>
    <t>YSCBQ134</t>
  </si>
  <si>
    <t>2233715754</t>
  </si>
  <si>
    <t>https://media.mydiamonds.info/certificate/2233715754_C280B913190D7DB1D510588087EBF1A0</t>
  </si>
  <si>
    <t>https://media.mydiamonds.info/WF/YSCBQ134.jpg?theme=light</t>
  </si>
  <si>
    <t>YSNMZ211</t>
  </si>
  <si>
    <t>7536764044</t>
  </si>
  <si>
    <t>Pinpoint, Cloud</t>
  </si>
  <si>
    <t>https://media.mydiamonds.info/certificate/7536764044_64031DF07A530700884496C0ADCCF47F</t>
  </si>
  <si>
    <t>https://media.mydiamonds.info/WF/YSNMZ211.jpg?theme=light</t>
  </si>
  <si>
    <t>YSNII019</t>
  </si>
  <si>
    <t>5536469548</t>
  </si>
  <si>
    <t>https://media.mydiamonds.info/certificate/5536469548_8696D7B301A65E6E1F2B47E2B6A93FA4</t>
  </si>
  <si>
    <t>https://media.mydiamonds.info/WF/YSNII019.jpg?theme=light</t>
  </si>
  <si>
    <t>YSUCC160</t>
  </si>
  <si>
    <t>2235745027</t>
  </si>
  <si>
    <t>Cloud, Crystal</t>
  </si>
  <si>
    <t>https://media.mydiamonds.info/certificate/2235745027_F609E8DE474CAC682DCC1593964D72C0</t>
  </si>
  <si>
    <t>https://media.mydiamonds.info/WF/YSUCC160.jpg?theme=light</t>
  </si>
  <si>
    <t>YSNHR001</t>
  </si>
  <si>
    <t>VVS1 +</t>
  </si>
  <si>
    <t>7538437379</t>
  </si>
  <si>
    <t>https://media.mydiamonds.info/certificate/7538437379_38BE19F0E9F008CB2B27FFA71F1F491C</t>
  </si>
  <si>
    <t>https://media.mydiamonds.info/WF/YSNHR001.jpg?theme=light</t>
  </si>
  <si>
    <t>YSCGQ066</t>
  </si>
  <si>
    <t>1535937379</t>
  </si>
  <si>
    <t>https://media.mydiamonds.info/certificate/1535937379_7748058E8C29E86C28948BD6D8AF1C71</t>
  </si>
  <si>
    <t>https://media.mydiamonds.info/WF/YSCGQ066.jpg?theme=light</t>
  </si>
  <si>
    <t>YSCHN010</t>
  </si>
  <si>
    <t>3545117661</t>
  </si>
  <si>
    <t>https://media.mydiamonds.info/certificate/3545117661_64807CF7EC96610EF5371524D1998B51</t>
  </si>
  <si>
    <t>https://media.mydiamonds.info/WF/YSCHN010.jpg?theme=light</t>
  </si>
  <si>
    <t>YSCFO048</t>
  </si>
  <si>
    <t>2231751144</t>
  </si>
  <si>
    <t>https://media.mydiamonds.info/certificate/2231751144_D71D9564010C681FABF1ECEE09D381DA</t>
  </si>
  <si>
    <t>https://media.mydiamonds.info/WF/YSCFO048.jpg?theme=light</t>
  </si>
  <si>
    <t>YSMMR127</t>
  </si>
  <si>
    <t>6535437965</t>
  </si>
  <si>
    <t>https://media.mydiamonds.info/certificate/6535437965_E8F0C33A63F71901E304192C45A65FAA</t>
  </si>
  <si>
    <t>https://media.mydiamonds.info/WF/YSMMR127.jpg?theme=light</t>
  </si>
  <si>
    <t>YSBOX040</t>
  </si>
  <si>
    <t>3525240443</t>
  </si>
  <si>
    <t>https://media.mydiamonds.info/certificate/3525240443_01DD479256AA8479E483D31A30F04452</t>
  </si>
  <si>
    <t>https://media.mydiamonds.info/WF/YSBOX040.jpg?theme=light</t>
  </si>
  <si>
    <t>YSBWC104</t>
  </si>
  <si>
    <t>VVS2 +</t>
  </si>
  <si>
    <t>2235696993</t>
  </si>
  <si>
    <t>YES</t>
  </si>
  <si>
    <t>https://media.mydiamonds.info/certificate/2235696993_E5290B6E3E15A65B3F5CD90BAB0A84A3</t>
  </si>
  <si>
    <t>https://media.mydiamonds.info/WF/YSBWC104.jpg?theme=light</t>
  </si>
  <si>
    <t>YSNEM069</t>
  </si>
  <si>
    <t>2537218622</t>
  </si>
  <si>
    <t>https://media.mydiamonds.info/certificate/2537218622_CD30990FC9BE4E407D926733BCDD6023</t>
  </si>
  <si>
    <t>https://media.mydiamonds.info/WF/YSNEM069.jpg?theme=light</t>
  </si>
  <si>
    <t>YSCBX062</t>
  </si>
  <si>
    <t>2231722297</t>
  </si>
  <si>
    <t>https://media.mydiamonds.info/certificate/2231722297_D3DED2396793D28CB55C6353743F46DA</t>
  </si>
  <si>
    <t>https://media.mydiamonds.info/WF/YSCBX062.jpg?theme=light</t>
  </si>
  <si>
    <t>YSCHN003</t>
  </si>
  <si>
    <t>1543117591</t>
  </si>
  <si>
    <t>https://media.mydiamonds.info/certificate/1543117591_486E2D1220E4B42BDECD7871CC99F8C1</t>
  </si>
  <si>
    <t>https://media.mydiamonds.info/WF/YSCHN003.jpg?theme=light</t>
  </si>
  <si>
    <t>XSBWY008</t>
  </si>
  <si>
    <t>1497880277</t>
  </si>
  <si>
    <t>https://media.mydiamonds.info/certificate/1497880277_ABCA99640E14BA7A6B49702280C9FA90</t>
  </si>
  <si>
    <t>https://media.mydiamonds.info/WF/XSBWY008.jpg?theme=light</t>
  </si>
  <si>
    <t>YSMXA096</t>
  </si>
  <si>
    <t>6525875319</t>
  </si>
  <si>
    <t>https://media.mydiamonds.info/certificate/6525875319_1B1D1A1F3C623D73D3C97F0378359658</t>
  </si>
  <si>
    <t>https://media.mydiamonds.info/WF/YSMXA096.jpg?theme=light</t>
  </si>
  <si>
    <t>XSBLW100</t>
  </si>
  <si>
    <t>7496116826</t>
  </si>
  <si>
    <t>https://media.mydiamonds.info/certificate/7496116826_3A169BA063CE5B9203CBDD985D9F38BE</t>
  </si>
  <si>
    <t>https://media.mydiamonds.info/WF/XSBLW100.jpg?theme=light</t>
  </si>
  <si>
    <t>YSCDN021</t>
  </si>
  <si>
    <t>1533735797</t>
  </si>
  <si>
    <t>https://media.mydiamonds.info/certificate/1533735797_05D497B51E297429F70CBD3F2FBEA687</t>
  </si>
  <si>
    <t>https://media.mydiamonds.info/WF/YSCDN021.jpg?theme=light</t>
  </si>
  <si>
    <t>YSCDU047</t>
  </si>
  <si>
    <t>2235737219</t>
  </si>
  <si>
    <t>https://media.mydiamonds.info/certificate/2235737219_39500AEB3F4BBF86B29DAC039DC506A5</t>
  </si>
  <si>
    <t>https://media.mydiamonds.info/WF/YSCDU047.jpg?theme=light</t>
  </si>
  <si>
    <t>ZPBE00004</t>
  </si>
  <si>
    <t>7546051803</t>
  </si>
  <si>
    <t>-</t>
  </si>
  <si>
    <t>Cloud,crystal,feather</t>
  </si>
  <si>
    <t>https://media.mydiamonds.info/certificate/7546051803_C0575650822B3EEA86DEE48CC83D3663</t>
  </si>
  <si>
    <t>https://media.mydiamonds.info/WF/ZPBE00004.jpg?theme=light</t>
  </si>
  <si>
    <t>XSBZT012</t>
  </si>
  <si>
    <t>5503022506</t>
  </si>
  <si>
    <t>https://media.mydiamonds.info/certificate/5503022506_79E6502C055DC999EB134F0C610544F6</t>
  </si>
  <si>
    <t>https://media.mydiamonds.info/WF/XSBZT012.jpg?theme=light</t>
  </si>
  <si>
    <t>YSNRB084</t>
  </si>
  <si>
    <t>6532879135</t>
  </si>
  <si>
    <t>Crystal, Cloud, Needle</t>
  </si>
  <si>
    <t>https://media.mydiamonds.info/certificate/6532879135_592E50197B35ABFF176899922283194F</t>
  </si>
  <si>
    <t>https://media.mydiamonds.info/WF/YSNRB084.jpg?theme=light</t>
  </si>
  <si>
    <t>YSCEO042</t>
  </si>
  <si>
    <t>5231742312</t>
  </si>
  <si>
    <t>https://media.mydiamonds.info/certificate/5231742312_E9431C29D5DEFF9D755CCCF8C1C8B8FC</t>
  </si>
  <si>
    <t>https://media.mydiamonds.info/WF/YSCEO042.jpg?theme=light</t>
  </si>
  <si>
    <t>XSBPN049</t>
  </si>
  <si>
    <t>1495344533</t>
  </si>
  <si>
    <t>https://media.mydiamonds.info/certificate/1495344533_16A4CB2ACA74DAB2A7753D8F663F5769</t>
  </si>
  <si>
    <t>https://media.mydiamonds.info/WF/XSBPN049.jpg?theme=light</t>
  </si>
  <si>
    <t>YSNRR141</t>
  </si>
  <si>
    <t>F +</t>
  </si>
  <si>
    <t>5231793707</t>
  </si>
  <si>
    <t>https://media.mydiamonds.info/certificate/5231793707_37348653E0896E22B7B220CF842110FD</t>
  </si>
  <si>
    <t>https://media.mydiamonds.info/WF/YSNRR141.jpg?theme=light</t>
  </si>
  <si>
    <t>YSCIM018</t>
  </si>
  <si>
    <t>1549243911</t>
  </si>
  <si>
    <t>Cloud, Needle</t>
  </si>
  <si>
    <t>https://media.mydiamonds.info/certificate/1549243911_44A02CFFBF3DFE1A7A54FDCFED172430</t>
  </si>
  <si>
    <t>https://media.mydiamonds.info/WF/YSCIM018.jpg?theme=light</t>
  </si>
  <si>
    <t>YSNJS006</t>
  </si>
  <si>
    <t>2536580132</t>
  </si>
  <si>
    <t>https://media.mydiamonds.info/certificate/2536580132_7267EA210DD56E5B21E6201C118154BB</t>
  </si>
  <si>
    <t>https://media.mydiamonds.info/WF/YSNJS006.jpg?theme=light</t>
  </si>
  <si>
    <t>YSNRB073</t>
  </si>
  <si>
    <t>7538873461</t>
  </si>
  <si>
    <t>https://media.mydiamonds.info/certificate/7538873461_F51B38EE099F4EEC4C7801BD65798412</t>
  </si>
  <si>
    <t>https://media.mydiamonds.info/WF/YSNRB073.jpg?theme=light</t>
  </si>
  <si>
    <t>YSBWC068</t>
  </si>
  <si>
    <t>1232701801</t>
  </si>
  <si>
    <t>https://media.mydiamonds.info/certificate/1232701801_400E24AFD97FED7D1DCA579009647EB9</t>
  </si>
  <si>
    <t>https://media.mydiamonds.info/WF/YSBWC068.jpg?theme=light</t>
  </si>
  <si>
    <t>XSBNH011</t>
  </si>
  <si>
    <t>7493245824</t>
  </si>
  <si>
    <t>https://media.mydiamonds.info/certificate/7493245824_B533F9E7D377E4BA44CC7AF57AC84253</t>
  </si>
  <si>
    <t>https://media.mydiamonds.info/WF/XSBNH011.jpg?theme=light</t>
  </si>
  <si>
    <t>YPUS27014</t>
  </si>
  <si>
    <t>2508632038</t>
  </si>
  <si>
    <t>Crystal,pinpoint</t>
  </si>
  <si>
    <t>https://media.mydiamonds.info/certificate/2508632038_82D7E34A89299530341BCC7BB793CE4B</t>
  </si>
  <si>
    <t>https://media.mydiamonds.info/WF/YPUS27014.jpg?theme=light</t>
  </si>
  <si>
    <t>YSMFJ075</t>
  </si>
  <si>
    <t>1515531628</t>
  </si>
  <si>
    <t>https://media.mydiamonds.info/certificate/1515531628_C542F0760DC3642649D659A04FBD312C</t>
  </si>
  <si>
    <t>https://media.mydiamonds.info/WF/YSMFJ075.jpg?theme=light</t>
  </si>
  <si>
    <t>YSNJM007</t>
  </si>
  <si>
    <t>5231745244</t>
  </si>
  <si>
    <t>https://media.mydiamonds.info/certificate/5231745244_D0F2FD7A4D4369E3D979D5FE3A995B62</t>
  </si>
  <si>
    <t>https://media.mydiamonds.info/WF/YSNJM007.jpg?theme=light</t>
  </si>
  <si>
    <t>XSBPN046</t>
  </si>
  <si>
    <t>3495344547</t>
  </si>
  <si>
    <t>https://media.mydiamonds.info/certificate/3495344547_7F7290611CB51D7CEED100AEA3C21617</t>
  </si>
  <si>
    <t>https://media.mydiamonds.info/WF/XSBPN046.jpg?theme=light</t>
  </si>
  <si>
    <t>YSCCT034</t>
  </si>
  <si>
    <t>5231726228</t>
  </si>
  <si>
    <t>https://media.mydiamonds.info/certificate/5231726228_F3225C319250BE5EFD45FEDDA087E167</t>
  </si>
  <si>
    <t>https://media.mydiamonds.info/WF/YSCCT034.jpg?theme=light</t>
  </si>
  <si>
    <t>YSMVY242</t>
  </si>
  <si>
    <t>7526809809</t>
  </si>
  <si>
    <t>https://media.mydiamonds.info/certificate/7526809809_4395F68CF9AAFBC10A518AAB27983585</t>
  </si>
  <si>
    <t>https://media.mydiamonds.info/WF/YSMVY242.jpg?theme=light</t>
  </si>
  <si>
    <t>XSBKH021</t>
  </si>
  <si>
    <t>6491065107</t>
  </si>
  <si>
    <t>https://media.mydiamonds.info/certificate/6491065107_E189D440B8F0813DD041EA60B75E70AE</t>
  </si>
  <si>
    <t>https://media.mydiamonds.info/WF/XSBKH021.jpg?theme=light</t>
  </si>
  <si>
    <t>YSCHN006</t>
  </si>
  <si>
    <t>5543117598</t>
  </si>
  <si>
    <t>Cloud, Pinpoint, Feather</t>
  </si>
  <si>
    <t>https://media.mydiamonds.info/certificate/5543117598_73E217D9E53697729328D7FFEA3A6E52</t>
  </si>
  <si>
    <t>https://media.mydiamonds.info/WF/YSCHN006.jpg?theme=light</t>
  </si>
  <si>
    <t>YSCFL102</t>
  </si>
  <si>
    <t>2235750938</t>
  </si>
  <si>
    <t>https://media.mydiamonds.info/certificate/2235750938_8C60CBA225E49040CF0F9C64DC9ADB37</t>
  </si>
  <si>
    <t>https://media.mydiamonds.info/WF/YSCFL102.jpg?theme=light</t>
  </si>
  <si>
    <t>XSMVM174</t>
  </si>
  <si>
    <t>2494832987</t>
  </si>
  <si>
    <t>https://media.mydiamonds.info/certificate/2494832987_CD00525C466E2B91CFE36EF5C7CEABBF</t>
  </si>
  <si>
    <t>https://media.mydiamonds.info/WF/XSMVM174.jpg?theme=light</t>
  </si>
  <si>
    <t>YSNKK062</t>
  </si>
  <si>
    <t>1535573994</t>
  </si>
  <si>
    <t>Pinpoint, Cloud, Feather</t>
  </si>
  <si>
    <t>https://media.mydiamonds.info/certificate/1535573994_B1C30A2E131AA0153C060118D9BEBEDF</t>
  </si>
  <si>
    <t>https://media.mydiamonds.info/WF/YSNKK062.jpg?theme=light</t>
  </si>
  <si>
    <t>ZPBE00005</t>
  </si>
  <si>
    <t>7548052373</t>
  </si>
  <si>
    <t>Cloud,pinpoint</t>
  </si>
  <si>
    <t>https://media.mydiamonds.info/certificate/7548052373_9035B37777028BCB9DF10605D5F011D2</t>
  </si>
  <si>
    <t>https://media.mydiamonds.info/WF/ZPBE00005.jpg?theme=light</t>
  </si>
  <si>
    <t>YPUS27005</t>
  </si>
  <si>
    <t>6501529013</t>
  </si>
  <si>
    <t>Crystal,feather,needle</t>
  </si>
  <si>
    <t>https://media.mydiamonds.info/certificate/6501529013_590C216D2E1B82A72AB8C75DCDCB6D72</t>
  </si>
  <si>
    <t>https://media.mydiamonds.info/WF/YPUS27005.jpg?theme=light</t>
  </si>
  <si>
    <t>YSCEO054</t>
  </si>
  <si>
    <t>5232742269</t>
  </si>
  <si>
    <t>Crystal, Cloud</t>
  </si>
  <si>
    <t>https://media.mydiamonds.info/certificate/5232742269_7A39A5BB3729B8E25697B673DBED878B</t>
  </si>
  <si>
    <t>https://media.mydiamonds.info/WF/YSCEO054.jpg?theme=light</t>
  </si>
  <si>
    <t>YSCBX079</t>
  </si>
  <si>
    <t>2231720654</t>
  </si>
  <si>
    <t>Needle, Cloud</t>
  </si>
  <si>
    <t>https://media.mydiamonds.info/certificate/2231720654_E4A512B40EA72FE4457D437C01315EC5</t>
  </si>
  <si>
    <t>https://media.mydiamonds.info/WF/YSCBX079.jpg?theme=light</t>
  </si>
  <si>
    <t>YSCHZ040</t>
  </si>
  <si>
    <t>7548184862</t>
  </si>
  <si>
    <t>Cloud, Feather, Pinpoint</t>
  </si>
  <si>
    <t>https://media.mydiamonds.info/certificate/7548184862_9E745E2E20085911B82AFB2398132364</t>
  </si>
  <si>
    <t>https://media.mydiamonds.info/WF/YSCHZ040.jpg?theme=light</t>
  </si>
  <si>
    <t>YSCBQ149</t>
  </si>
  <si>
    <t>5232715759</t>
  </si>
  <si>
    <t>Pinpoint, Needle, Feather</t>
  </si>
  <si>
    <t>https://media.mydiamonds.info/certificate/5232715759_D892413B0AA5552E42DFCB5B9D1E4535</t>
  </si>
  <si>
    <t>https://media.mydiamonds.info/WF/YSCBQ149.jpg?theme=light</t>
  </si>
  <si>
    <t>YSBHT089</t>
  </si>
  <si>
    <t>2517789402</t>
  </si>
  <si>
    <t>https://media.mydiamonds.info/certificate/2517789402_6B71548DA449D6DCFABF0920C68E0BE0</t>
  </si>
  <si>
    <t>https://media.mydiamonds.info/WF/YSBHT089.jpg?theme=light</t>
  </si>
  <si>
    <t>YSCDA047</t>
  </si>
  <si>
    <t>2235727981</t>
  </si>
  <si>
    <t>https://media.mydiamonds.info/certificate/2235727981_62A9C6D108CBF27C31F3204101762FFE</t>
  </si>
  <si>
    <t>https://media.mydiamonds.info/WF/YSCDA047.jpg?theme=light</t>
  </si>
  <si>
    <t>XSBPE018</t>
  </si>
  <si>
    <t>1495297858</t>
  </si>
  <si>
    <t>https://media.mydiamonds.info/certificate/1495297858_B5B9766B2EE17DB7AC97099964023377</t>
  </si>
  <si>
    <t>https://media.mydiamonds.info/WF/XSBPE018.jpg?theme=light</t>
  </si>
  <si>
    <t>XSBXM015</t>
  </si>
  <si>
    <t>5496899985</t>
  </si>
  <si>
    <t>https://media.mydiamonds.info/certificate/5496899985_5DB16A65C705DCEFBB32B23CA1F039DA</t>
  </si>
  <si>
    <t>https://media.mydiamonds.info/WF/XSBXM015.jpg?theme=light</t>
  </si>
  <si>
    <t>YSBSN083</t>
  </si>
  <si>
    <t>5231633886</t>
  </si>
  <si>
    <t>https://media.mydiamonds.info/certificate/5231633886_37A2A709E9C4ABB9E52AFFDDF4C72369</t>
  </si>
  <si>
    <t>https://media.mydiamonds.info/WF/YSBSN083.jpg?theme=light</t>
  </si>
  <si>
    <t>YPUS27016</t>
  </si>
  <si>
    <t>6505699013</t>
  </si>
  <si>
    <t>Crystal,needle</t>
  </si>
  <si>
    <t>https://media.mydiamonds.info/certificate/6505699013_11F55A3A74693AA566FAFD1AE7624BEC</t>
  </si>
  <si>
    <t>https://media.mydiamonds.info/WF/YPUS27016.jpg?theme=light</t>
  </si>
  <si>
    <t>YSNJS046</t>
  </si>
  <si>
    <t>5533580026</t>
  </si>
  <si>
    <t>https://media.mydiamonds.info/certificate/5533580026_4EB06E0DB1E34028CBB5F1DB80735389</t>
  </si>
  <si>
    <t>https://media.mydiamonds.info/WF/YSNJS046.jpg?theme=light</t>
  </si>
  <si>
    <t>YSCDX062</t>
  </si>
  <si>
    <t>2235737138</t>
  </si>
  <si>
    <t>Needle</t>
  </si>
  <si>
    <t>https://media.mydiamonds.info/certificate/2235737138_F6F2BCCC18D73563E1CAAC0AAA00B6E1</t>
  </si>
  <si>
    <t>https://media.mydiamonds.info/WF/YSCDX062.jpg?theme=light</t>
  </si>
  <si>
    <t>YSNRR190</t>
  </si>
  <si>
    <t>2235793722</t>
  </si>
  <si>
    <t>https://media.mydiamonds.info/certificate/2235793722_8F7DC683D3D1C816FA54DAA322DD5A97</t>
  </si>
  <si>
    <t>https://media.mydiamonds.info/WF/YSNRR190.jpg?theme=light</t>
  </si>
  <si>
    <t>XSBMF044</t>
  </si>
  <si>
    <t>5496200835</t>
  </si>
  <si>
    <t>https://media.mydiamonds.info/certificate/5496200835_26F3ED83A354E0926FDE450B2119B8E0</t>
  </si>
  <si>
    <t>https://media.mydiamonds.info/WF/XSBMF044.jpg?theme=light</t>
  </si>
  <si>
    <t>YSNOO358</t>
  </si>
  <si>
    <t>7538891026</t>
  </si>
  <si>
    <t>https://media.mydiamonds.info/certificate/7538891026_EFBFC6B3BF65FFE9D7391AD29E0D42F0</t>
  </si>
  <si>
    <t>https://media.mydiamonds.info/WF/YSNOO358.jpg?theme=light</t>
  </si>
  <si>
    <t>YSNRO120</t>
  </si>
  <si>
    <t>1232793547</t>
  </si>
  <si>
    <t>https://media.mydiamonds.info/certificate/1232793547_CCC74F56AFA63B30F3AA086BEBAA62AC</t>
  </si>
  <si>
    <t>https://media.mydiamonds.info/WF/YSNRO120.jpg?theme=light</t>
  </si>
  <si>
    <t>YSCBH121</t>
  </si>
  <si>
    <t>6233744858</t>
  </si>
  <si>
    <t>https://media.mydiamonds.info/certificate/6233744858_8DE805F8B3E1437AB337545CDD72CBEA</t>
  </si>
  <si>
    <t>https://media.mydiamonds.info/WF/YSCBH121.jpg?theme=light</t>
  </si>
  <si>
    <t>YSMVH052</t>
  </si>
  <si>
    <t>6521701538</t>
  </si>
  <si>
    <t>https://media.mydiamonds.info/certificate/6521701538_FE3BC5ED9E05FDE568252153DB11EDE8</t>
  </si>
  <si>
    <t>https://media.mydiamonds.info/WF/YSMVH052.jpg?theme=light</t>
  </si>
  <si>
    <t>YSNDB045</t>
  </si>
  <si>
    <t>2537137999</t>
  </si>
  <si>
    <t>https://media.mydiamonds.info/certificate/2537137999_9C8FEBE991FEC3CCA296DB032CC48383</t>
  </si>
  <si>
    <t>https://media.mydiamonds.info/WF/YSNDB045.jpg?theme=light</t>
  </si>
  <si>
    <t>YSBZP087</t>
  </si>
  <si>
    <t>2235700970</t>
  </si>
  <si>
    <t>https://media.mydiamonds.info/certificate/2235700970_A82A16C8FB9B1C6F8C89D626C59106BC</t>
  </si>
  <si>
    <t>https://media.mydiamonds.info/WF/YSBZP087.jpg?theme=light</t>
  </si>
  <si>
    <t>XSBLB044</t>
  </si>
  <si>
    <t>2496057809</t>
  </si>
  <si>
    <t>https://media.mydiamonds.info/certificate/2496057809_675F11E067C1EE6AB32A0126CE6E3691</t>
  </si>
  <si>
    <t>https://media.mydiamonds.info/WF/XSBLB044.jpg?theme=light</t>
  </si>
  <si>
    <t>YSCCT040</t>
  </si>
  <si>
    <t>2235726241</t>
  </si>
  <si>
    <t>https://media.mydiamonds.info/certificate/2235726241_6EEB126A76FA8C3CE274FD5F77D31CE5</t>
  </si>
  <si>
    <t>https://media.mydiamonds.info/WF/YSCCT040.jpg?theme=light</t>
  </si>
  <si>
    <t>YSBSN086</t>
  </si>
  <si>
    <t>2235633889</t>
  </si>
  <si>
    <t>https://media.mydiamonds.info/certificate/2235633889_0BEEF116AD7BA804DF7654304D3763E6</t>
  </si>
  <si>
    <t>https://media.mydiamonds.info/WF/YSBSN086.jpg?theme=light</t>
  </si>
  <si>
    <t>YSNRR142</t>
  </si>
  <si>
    <t>2231793691</t>
  </si>
  <si>
    <t>https://media.mydiamonds.info/certificate/2231793691_00910D6570B86A0CCC4EC06F988C893B</t>
  </si>
  <si>
    <t>https://media.mydiamonds.info/WF/YSNRR142.jpg?theme=light</t>
  </si>
  <si>
    <t>YSCHR037</t>
  </si>
  <si>
    <t>6542117630</t>
  </si>
  <si>
    <t>https://media.mydiamonds.info/certificate/6542117630_6038B30D75908DD0A220255197969859</t>
  </si>
  <si>
    <t>https://media.mydiamonds.info/WF/YSCHR037.jpg?theme=light</t>
  </si>
  <si>
    <t>YSCFB064</t>
  </si>
  <si>
    <t>5232748968</t>
  </si>
  <si>
    <t>https://media.mydiamonds.info/certificate/5232748968_F414159ACD772B17429C431C717578DE</t>
  </si>
  <si>
    <t>https://media.mydiamonds.info/WF/YSCFB064.jpg?theme=light</t>
  </si>
  <si>
    <t>YSCHL028</t>
  </si>
  <si>
    <t>2546118215</t>
  </si>
  <si>
    <t>https://media.mydiamonds.info/certificate/2546118215_A2100E93E078C3BF814D3DD6CF91784A</t>
  </si>
  <si>
    <t>https://media.mydiamonds.info/WF/YSCHL028.jpg?theme=light</t>
  </si>
  <si>
    <t>YSCHW007</t>
  </si>
  <si>
    <t>7548183194</t>
  </si>
  <si>
    <t>https://media.mydiamonds.info/certificate/7548183194_28CD4B880E1CF1861184A4CA287F5045</t>
  </si>
  <si>
    <t>https://media.mydiamonds.info/WF/YSCHW007.jpg?theme=light</t>
  </si>
  <si>
    <t>YSCEO013</t>
  </si>
  <si>
    <t>6233742320</t>
  </si>
  <si>
    <t>https://media.mydiamonds.info/certificate/6233742320_D7FD606700264BFFC61823984220F89E</t>
  </si>
  <si>
    <t>https://media.mydiamonds.info/WF/YSCEO013.jpg?theme=light</t>
  </si>
  <si>
    <t>YSCCI079</t>
  </si>
  <si>
    <t>2233722424</t>
  </si>
  <si>
    <t>https://media.mydiamonds.info/certificate/2233722424_321523BA1B2B45539A84D3E5A0BA6634</t>
  </si>
  <si>
    <t>https://media.mydiamonds.info/WF/YSCCI079.jpg?theme=light</t>
  </si>
  <si>
    <t>YSCGX046</t>
  </si>
  <si>
    <t>1232777504</t>
  </si>
  <si>
    <t>Crystal, Pinpoint</t>
  </si>
  <si>
    <t>https://media.mydiamonds.info/certificate/1232777504_F88751A87B87C69D616C50A8A4756631</t>
  </si>
  <si>
    <t>https://media.mydiamonds.info/WF/YSCGX046.jpg?theme=light</t>
  </si>
  <si>
    <t>YSNRO111</t>
  </si>
  <si>
    <t>6233793494</t>
  </si>
  <si>
    <t>https://media.mydiamonds.info/certificate/6233793494_BB0C287F1999A2A628E43140088E0EA1</t>
  </si>
  <si>
    <t>https://media.mydiamonds.info/WF/YSNRO111.jpg?theme=light</t>
  </si>
  <si>
    <t>YSCGL116</t>
  </si>
  <si>
    <t>2233770303</t>
  </si>
  <si>
    <t>https://media.mydiamonds.info/certificate/2233770303_8AE805B8F497785D4999063182D31290</t>
  </si>
  <si>
    <t>https://media.mydiamonds.info/WF/YSCGL116.jpg?theme=light</t>
  </si>
  <si>
    <t>YSCGX090</t>
  </si>
  <si>
    <t>2231778518</t>
  </si>
  <si>
    <t>Cloud, Crystal, Feather, Pinpoint</t>
  </si>
  <si>
    <t>https://media.mydiamonds.info/certificate/2231778518_F0456665E86BD4B004C01CB0D2E29BA2</t>
  </si>
  <si>
    <t>https://media.mydiamonds.info/WF/YSCGX090.jpg?theme=light</t>
  </si>
  <si>
    <t>YSCCE041</t>
  </si>
  <si>
    <t>6532628108</t>
  </si>
  <si>
    <t>Crystal, Feather, Needle</t>
  </si>
  <si>
    <t>https://media.mydiamonds.info/certificate/6532628108_27764C34EB0C05371E728121D4BFFB88</t>
  </si>
  <si>
    <t>https://media.mydiamonds.info/WF/YSCCE041.jpg?theme=light</t>
  </si>
  <si>
    <t>YSCEG043</t>
  </si>
  <si>
    <t>6237739397</t>
  </si>
  <si>
    <t>https://media.mydiamonds.info/certificate/6237739397_ECFECB34DDA4B0BEFDA2796F45357DA6</t>
  </si>
  <si>
    <t>https://media.mydiamonds.info/WF/YSCEG043.jpg?theme=light</t>
  </si>
  <si>
    <t>YPUS27004</t>
  </si>
  <si>
    <t>6505622012</t>
  </si>
  <si>
    <t>Crystal,cloud,needle</t>
  </si>
  <si>
    <t>https://media.mydiamonds.info/certificate/6505622012_446FEF9A6B2B20BE13C1D2EC47F0CC91</t>
  </si>
  <si>
    <t>https://media.mydiamonds.info/WF/YPUS27004.jpg?theme=light</t>
  </si>
  <si>
    <t>YSNQJ116</t>
  </si>
  <si>
    <t>2534999640</t>
  </si>
  <si>
    <t>Crystal, Feather, Indented Natural, Needle</t>
  </si>
  <si>
    <t>https://media.mydiamonds.info/certificate/2534999640_35189C307BBA95010F3BDF700EF095CC</t>
  </si>
  <si>
    <t>https://media.mydiamonds.info/WF/YSNQJ116.jpg?theme=light</t>
  </si>
  <si>
    <t>YSCAY066</t>
  </si>
  <si>
    <t>2536486263</t>
  </si>
  <si>
    <t>Crystal, Cloud, Pinpoint</t>
  </si>
  <si>
    <t>https://media.mydiamonds.info/certificate/2536486263_9B568A61A26FA0CC47937F1DA3BE6EA7</t>
  </si>
  <si>
    <t>https://media.mydiamonds.info/WF/YSCAY066.jpg?theme=light</t>
  </si>
  <si>
    <t>YSCID004</t>
  </si>
  <si>
    <t>5543184679</t>
  </si>
  <si>
    <t>https://media.mydiamonds.info/certificate/5543184679_E520315D5EBB7D1D43931FB833D78EA1</t>
  </si>
  <si>
    <t>https://media.mydiamonds.info/WF/YSCID004.jpg?theme=light</t>
  </si>
  <si>
    <t>YSNLX129</t>
  </si>
  <si>
    <t>5533689104</t>
  </si>
  <si>
    <t>https://media.mydiamonds.info/certificate/5533689104_C2BBA0BF45C7347906B43A9AD6C59933</t>
  </si>
  <si>
    <t>https://media.mydiamonds.info/WF/YSNLX129.jpg?theme=light</t>
  </si>
  <si>
    <t>YSNNM392</t>
  </si>
  <si>
    <t>6532791385</t>
  </si>
  <si>
    <t>https://media.mydiamonds.info/certificate/6532791385_B8EDFF7EE0F3260EECE7DC221B01690B</t>
  </si>
  <si>
    <t>https://media.mydiamonds.info/WF/YSNNM392.jpg?theme=light</t>
  </si>
  <si>
    <t>YSNRO115</t>
  </si>
  <si>
    <t>2233793499</t>
  </si>
  <si>
    <t>https://media.mydiamonds.info/certificate/2233793499_B9561F193D255DE1EA6B86B89C08CAA3</t>
  </si>
  <si>
    <t>https://media.mydiamonds.info/WF/YSNRO115.jpg?theme=light</t>
  </si>
  <si>
    <t>YSCGX068</t>
  </si>
  <si>
    <t>2231778483</t>
  </si>
  <si>
    <t>https://media.mydiamonds.info/certificate/2231778483_B0C96D12F93CE85B12B5ACE143E2A14D</t>
  </si>
  <si>
    <t>https://media.mydiamonds.info/WF/YSCGX068.jpg?theme=light</t>
  </si>
  <si>
    <t>YSCBU056</t>
  </si>
  <si>
    <t>6233715707</t>
  </si>
  <si>
    <t>https://media.mydiamonds.info/certificate/6233715707_35E0300E9CEA639CA8AD8C51B7EB838E</t>
  </si>
  <si>
    <t>https://media.mydiamonds.info/WF/YSCBU056.jpg?theme=light</t>
  </si>
  <si>
    <t>YSCHL029</t>
  </si>
  <si>
    <t>6545118232</t>
  </si>
  <si>
    <t>https://media.mydiamonds.info/certificate/6545118232_F791BEA470ECE7EEE873405D6F44D4E7</t>
  </si>
  <si>
    <t>https://media.mydiamonds.info/WF/YSCHL029.jpg?theme=light</t>
  </si>
  <si>
    <t>YSBZP353</t>
  </si>
  <si>
    <t>VS1 -</t>
  </si>
  <si>
    <t>1538325526</t>
  </si>
  <si>
    <t>https://media.mydiamonds.info/certificate/1538325526_D1D77D0C3F5D38ADCAF0E7DCAB7C482A</t>
  </si>
  <si>
    <t>https://media.mydiamonds.info/WF/YSBZP353.jpg?theme=light</t>
  </si>
  <si>
    <t>YSNRK129</t>
  </si>
  <si>
    <t>1232791029</t>
  </si>
  <si>
    <t>Crystal, Pinpoint, Natural</t>
  </si>
  <si>
    <t>https://media.mydiamonds.info/certificate/1232791029_BB74BBB1864A2566388B35C0804ED542</t>
  </si>
  <si>
    <t>https://media.mydiamonds.info/WF/YSNRK129.jpg?theme=light</t>
  </si>
  <si>
    <t>YSBZP078</t>
  </si>
  <si>
    <t>1232700871</t>
  </si>
  <si>
    <t>https://media.mydiamonds.info/certificate/1232700871_1766729781534FB01421CA69384C40F9</t>
  </si>
  <si>
    <t>https://media.mydiamonds.info/WF/YSBZP078.jpg?theme=light</t>
  </si>
  <si>
    <t>YSNOO343</t>
  </si>
  <si>
    <t>6535896474</t>
  </si>
  <si>
    <t>https://media.mydiamonds.info/certificate/6535896474_09DC04C7BB27238654617BF206499838</t>
  </si>
  <si>
    <t>https://media.mydiamonds.info/WF/YSNOO343.jpg?theme=light</t>
  </si>
  <si>
    <t>YSCFB044</t>
  </si>
  <si>
    <t>2235748949</t>
  </si>
  <si>
    <t>https://media.mydiamonds.info/certificate/2235748949_1192DC98D2805E9881A6A780B62ED641</t>
  </si>
  <si>
    <t>https://media.mydiamonds.info/WF/YSCFB044.jpg?theme=light</t>
  </si>
  <si>
    <t>YSCGQ098</t>
  </si>
  <si>
    <t>7538926594</t>
  </si>
  <si>
    <t>https://media.mydiamonds.info/certificate/7538926594_70AF03DC6D2D54CDDC783A9539060D01</t>
  </si>
  <si>
    <t>https://media.mydiamonds.info/WF/YSCGQ098.jpg?theme=light</t>
  </si>
  <si>
    <t>YSCDO051</t>
  </si>
  <si>
    <t>7538631446</t>
  </si>
  <si>
    <t>https://media.mydiamonds.info/certificate/7538631446_54CB191B39BB70E94D02092471D3C1FB</t>
  </si>
  <si>
    <t>https://media.mydiamonds.info/WF/YSCDO051.jpg?theme=light</t>
  </si>
  <si>
    <t>YSNRO175</t>
  </si>
  <si>
    <t>5232792300</t>
  </si>
  <si>
    <t>https://media.mydiamonds.info/certificate/5232792300_18A15D64F013AEE9851F654BB5761121</t>
  </si>
  <si>
    <t>https://media.mydiamonds.info/WF/YSNRO175.jpg?theme=light</t>
  </si>
  <si>
    <t>YSCDN016</t>
  </si>
  <si>
    <t>1539735803</t>
  </si>
  <si>
    <t>https://media.mydiamonds.info/certificate/1539735803_FD06F84695C1F5A9296B773E164B8E77</t>
  </si>
  <si>
    <t>https://media.mydiamonds.info/WF/YSCDN016.jpg?theme=light</t>
  </si>
  <si>
    <t>YSCIT012</t>
  </si>
  <si>
    <t>2546188378</t>
  </si>
  <si>
    <t>https://media.mydiamonds.info/certificate/2546188378_3D04D56C78C486174B0634828EEC2F4B</t>
  </si>
  <si>
    <t>https://media.mydiamonds.info/WF/YSCIT012.jpg?theme=light</t>
  </si>
  <si>
    <t>YSNQB147</t>
  </si>
  <si>
    <t>2546003680</t>
  </si>
  <si>
    <t>https://media.mydiamonds.info/certificate/2546003680_AEADC59419A5D16DD24DCC67446D3317</t>
  </si>
  <si>
    <t>https://media.mydiamonds.info/WF/YSNQB147.jpg?theme=light</t>
  </si>
  <si>
    <t>YSMGX058</t>
  </si>
  <si>
    <t>2516612632</t>
  </si>
  <si>
    <t>https://media.mydiamonds.info/certificate/2516612632_F494A04808007215F04F9F64E20FEF5E</t>
  </si>
  <si>
    <t>https://media.mydiamonds.info/WF/YSMGX058.jpg?theme=light</t>
  </si>
  <si>
    <t>YSNME195</t>
  </si>
  <si>
    <t>2537706459</t>
  </si>
  <si>
    <t>https://media.mydiamonds.info/certificate/2537706459_02BB6F9F2A4D289AAEF1E4A0CEC77D27</t>
  </si>
  <si>
    <t>https://media.mydiamonds.info/WF/YSNME195.jpg?theme=light</t>
  </si>
  <si>
    <t>YSNKC024</t>
  </si>
  <si>
    <t>1539589863</t>
  </si>
  <si>
    <t>https://media.mydiamonds.info/certificate/1539589863_71036909CFA763444BDD1E071DFBD3B6</t>
  </si>
  <si>
    <t>https://media.mydiamonds.info/WF/YSNKC024.jpg?theme=light</t>
  </si>
  <si>
    <t>YSBMD089</t>
  </si>
  <si>
    <t>1232593370</t>
  </si>
  <si>
    <t>https://media.mydiamonds.info/certificate/1232593370_BE74C99A5A1A734338B7BCE9A58D1E91</t>
  </si>
  <si>
    <t>https://media.mydiamonds.info/WF/YSBMD089.jpg?theme=light</t>
  </si>
  <si>
    <t>YSBSE037</t>
  </si>
  <si>
    <t>6233632917</t>
  </si>
  <si>
    <t>https://media.mydiamonds.info/certificate/6233632917_F91DE37E4BF546C069430A7E79DAEE77</t>
  </si>
  <si>
    <t>https://media.mydiamonds.info/WF/YSBSE037.jpg?theme=light</t>
  </si>
  <si>
    <t>YSBSQ029</t>
  </si>
  <si>
    <t>5523864496</t>
  </si>
  <si>
    <t>https://media.mydiamonds.info/certificate/5523864496_9A73D42F0475B2E8584B32BA8CFF1CC6</t>
  </si>
  <si>
    <t>https://media.mydiamonds.info/WF/YSBSQ029.jpg?theme=light</t>
  </si>
  <si>
    <t>YSNPB227</t>
  </si>
  <si>
    <t>6535919207</t>
  </si>
  <si>
    <t>https://media.mydiamonds.info/certificate/6535919207_895013907391DDAA9BFA7D016EE63F3D</t>
  </si>
  <si>
    <t>https://media.mydiamonds.info/WF/YSNPB227.jpg?theme=light</t>
  </si>
  <si>
    <t>YSNAW042</t>
  </si>
  <si>
    <t>2537033451</t>
  </si>
  <si>
    <t>Cloud, Feather, Crystal, Cavity, Needle</t>
  </si>
  <si>
    <t>https://media.mydiamonds.info/certificate/2537033451_0BBB30BAE6B44DA7AA2A1039C3C5A863</t>
  </si>
  <si>
    <t>https://media.mydiamonds.info/WF/YSNAW042.jpg?theme=light</t>
  </si>
  <si>
    <t>YSNXX197</t>
  </si>
  <si>
    <t>5546345577</t>
  </si>
  <si>
    <t>Cloud, Crystal, Feather, Needle, Indented Natural, Natural</t>
  </si>
  <si>
    <t>https://media.mydiamonds.info/certificate/5546345577_0C5DA6DCBDAE09A9A6041FF26D108B2C</t>
  </si>
  <si>
    <t>https://media.mydiamonds.info/WF/YSNXX197.jpg?theme=light</t>
  </si>
  <si>
    <t>YSBKF004</t>
  </si>
  <si>
    <t>6522042174</t>
  </si>
  <si>
    <t>Cloud, Feather, Pinpoint, Needle</t>
  </si>
  <si>
    <t>https://media.mydiamonds.info/certificate/6522042174_F216BD9243190A4274067D49CF26253E</t>
  </si>
  <si>
    <t>https://media.mydiamonds.info/WF/YSBKF004.jpg?theme=light</t>
  </si>
  <si>
    <t>YSCAL042</t>
  </si>
  <si>
    <t>5231706181</t>
  </si>
  <si>
    <t>https://media.mydiamonds.info/certificate/5231706181_58C2D97C5D2EF5AA8E72A75B86CB2583</t>
  </si>
  <si>
    <t>https://media.mydiamonds.info/WF/YSCAL042.jpg?theme=light</t>
  </si>
  <si>
    <t>YSCEU025</t>
  </si>
  <si>
    <t>5231745912</t>
  </si>
  <si>
    <t>Feather, Needle, Pinpoint</t>
  </si>
  <si>
    <t>https://media.mydiamonds.info/certificate/5231745912_79A384BCFFD1D835711374E7CB218E4A</t>
  </si>
  <si>
    <t>https://media.mydiamonds.info/WF/YSCEU025.jpg?theme=light</t>
  </si>
  <si>
    <t>YSNXE033</t>
  </si>
  <si>
    <t>6545312526</t>
  </si>
  <si>
    <t>https://media.mydiamonds.info/certificate/6545312526_E6E28D772BA2D82D2DA8DCFCB98EEAE5</t>
  </si>
  <si>
    <t>https://media.mydiamonds.info/WF/YSNXE033.jpg?theme=light</t>
  </si>
  <si>
    <t>YSCKI181</t>
  </si>
  <si>
    <t>6545325635</t>
  </si>
  <si>
    <t>Feather, Cloud, Needle</t>
  </si>
  <si>
    <t>https://media.mydiamonds.info/certificate/6545325635_B0F8790AE21947E2821ECF0313BB11EE</t>
  </si>
  <si>
    <t>https://media.mydiamonds.info/WF/YSCKI181.jpg?theme=light</t>
  </si>
  <si>
    <t>YSNRD167</t>
  </si>
  <si>
    <t>7536873553</t>
  </si>
  <si>
    <t>https://media.mydiamonds.info/certificate/7536873553_5FA181E30CC6145C70BBE91BFAEF6302</t>
  </si>
  <si>
    <t>https://media.mydiamonds.info/WF/YSNRD167.jpg?theme=light</t>
  </si>
  <si>
    <t>YPUS27017</t>
  </si>
  <si>
    <t>6511366811</t>
  </si>
  <si>
    <t>https://media.mydiamonds.info/certificate/6511366811_B1E87F4E7AA6E46D634A117DB3ED5523</t>
  </si>
  <si>
    <t>https://media.mydiamonds.info/WF/YPUS27017.jpg?theme=light</t>
  </si>
  <si>
    <t>YSMYQ057</t>
  </si>
  <si>
    <t>3525920720</t>
  </si>
  <si>
    <t>https://media.mydiamonds.info/certificate/3525920720_6C0FDEF49E3872F9DCD5D2F6EE5C7739</t>
  </si>
  <si>
    <t>https://media.mydiamonds.info/WF/YSMYQ057.jpg?theme=light</t>
  </si>
  <si>
    <t>YSCCC014</t>
  </si>
  <si>
    <t>5231720635</t>
  </si>
  <si>
    <t>https://media.mydiamonds.info/certificate/5231720635_F8BFD35449DA40A623EEC290904C5307</t>
  </si>
  <si>
    <t>https://media.mydiamonds.info/WF/YSCCC014.jpg?theme=light</t>
  </si>
  <si>
    <t>YSCEU013</t>
  </si>
  <si>
    <t>2235745870</t>
  </si>
  <si>
    <t>https://media.mydiamonds.info/certificate/2235745870_910A256CA726D6E252672A421B84E8DC</t>
  </si>
  <si>
    <t>https://media.mydiamonds.info/WF/YSCEU013.jpg?theme=light</t>
  </si>
  <si>
    <t>YSCBX075</t>
  </si>
  <si>
    <t>1537498885</t>
  </si>
  <si>
    <t>https://media.mydiamonds.info/certificate/1537498885_744F29A8F86604EBB821EEDC41C6DF97</t>
  </si>
  <si>
    <t>https://media.mydiamonds.info/WF/YSCBX075.jpg?theme=light</t>
  </si>
  <si>
    <t>YSMPN155</t>
  </si>
  <si>
    <t>7521167982</t>
  </si>
  <si>
    <t>https://media.mydiamonds.info/certificate/7521167982_B772EC03E7A3AC5C87B29FC0691A0554</t>
  </si>
  <si>
    <t>https://media.mydiamonds.info/WF/YSMPN155.jpg?theme=light</t>
  </si>
  <si>
    <t>YSCCI085</t>
  </si>
  <si>
    <t>2231722436</t>
  </si>
  <si>
    <t>https://media.mydiamonds.info/certificate/2231722436_850F533BA46B1016DBAC8F340084A85A</t>
  </si>
  <si>
    <t>https://media.mydiamonds.info/WF/YSCCI085.jpg?theme=light</t>
  </si>
  <si>
    <t>YSBDR050</t>
  </si>
  <si>
    <t>6515788021</t>
  </si>
  <si>
    <t>https://media.mydiamonds.info/certificate/6515788021_CC19D754C4A45396D8332DC5A517DB70</t>
  </si>
  <si>
    <t>https://media.mydiamonds.info/WF/YSBDR050.jpg?theme=light</t>
  </si>
  <si>
    <t>YSCCI012</t>
  </si>
  <si>
    <t>PEAR</t>
  </si>
  <si>
    <t>6237722392</t>
  </si>
  <si>
    <t>https://media.mydiamonds.info/certificate/6237722392_7FF24C1720671FA238CDC3D13E7ABAD7</t>
  </si>
  <si>
    <t>https://media.mydiamonds.info/carbon/YSCCI012</t>
  </si>
  <si>
    <t>https://media.mydiamonds.info/hand/YSCCI012</t>
  </si>
  <si>
    <t>https://media.mydiamonds.info/tweezer/YSCCI012</t>
  </si>
  <si>
    <t>https://media.mydiamonds.info/WF/YSCCI012.jpg?theme=light</t>
  </si>
  <si>
    <t>YSCCP017</t>
  </si>
  <si>
    <t>3535637586</t>
  </si>
  <si>
    <t>https://media.mydiamonds.info/certificate/3535637586_F69F5E7BCEF839B97DC502AE48A5EF00</t>
  </si>
  <si>
    <t>https://media.mydiamonds.info/WF/YSCCP017.jpg?theme=light</t>
  </si>
  <si>
    <t>YSNTU050</t>
  </si>
  <si>
    <t>1236812811</t>
  </si>
  <si>
    <t>Crystal, Feather, Cavity, Pinpoint, Indented Natural, Natural</t>
  </si>
  <si>
    <t>https://media.mydiamonds.info/certificate/1236812811_44A59EB319617BB19129603DFC3D1BE4</t>
  </si>
  <si>
    <t>https://media.mydiamonds.info/WF/YSNTU050.jpg?theme=light</t>
  </si>
  <si>
    <t>YSCIJ013</t>
  </si>
  <si>
    <t>6542207067</t>
  </si>
  <si>
    <t>https://media.mydiamonds.info/certificate/6542207067_036C5B00A4D24B13FAA7462DA87394C0</t>
  </si>
  <si>
    <t>https://media.mydiamonds.info/WF/YSCIJ013.jpg?theme=light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</si>
</sst>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color rgb="FFFFFFFF" tint="0"/>
      <name val="Calibri"/>
    </font>
    <font>
      <sz val="11"/>
      <color rgb="FF0000FF" tint="0"/>
      <name val="Calibri"/>
    </font>
    <font>
      <b/>
      <sz val="11"/>
      <color rgb="FFFF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D6D6D" tint="0"/>
      </patternFill>
    </fill>
  </fills>
  <borders count="2">
    <border>
      <left/>
      <right/>
      <top/>
      <bottom/>
      <diagonal/>
    </border>
    <border>
      <left style="thin">
        <color rgb="FF969696" tint="0"/>
      </left>
      <right style="thin">
        <color rgb="FF969696" tint="0"/>
      </right>
      <top style="thin">
        <color rgb="FF969696" tint="0"/>
      </top>
      <bottom style="thin">
        <color rgb="FF969696" tint="0"/>
      </bottom>
      <diagonal/>
    </border>
  </borders>
  <cellStyleXfs count="1">
    <xf numFmtId="0" fontId="0"/>
  </cellStyleXfs>
  <cellXfs count="12">
    <xf numFmtId="0" applyNumberFormat="1" fontId="0" applyFont="1" xfId="0"/>
    <xf numFmtId="0" applyNumberFormat="1" fontId="0" applyFont="1" xfId="0">
      <alignment horizontal="center"/>
    </xf>
    <xf numFmtId="2" applyNumberFormat="1" fontId="0" applyFont="1" xfId="0">
      <alignment horizontal="center"/>
    </xf>
    <xf numFmtId="0" applyNumberFormat="1" fontId="3" applyFont="1" xfId="0">
      <alignment horizontal="center"/>
    </xf>
    <xf numFmtId="2" applyNumberFormat="1" fontId="3" applyFont="1" xfId="0">
      <alignment horizontal="center"/>
    </xf>
    <xf numFmtId="0" applyNumberFormat="1" fontId="1" applyFont="1" fillId="2" applyFill="1" xfId="0">
      <alignment horizontal="center"/>
    </xf>
    <xf numFmtId="2" applyNumberFormat="1" fontId="1" applyFont="1" fillId="2" applyFill="1" xfId="0">
      <alignment horizontal="center"/>
    </xf>
    <xf numFmtId="0" applyNumberFormat="1" fontId="0" applyFont="1" borderId="1" applyBorder="1" xfId="0">
      <alignment horizontal="center"/>
    </xf>
    <xf numFmtId="2" applyNumberFormat="1" fontId="2" applyFont="1" borderId="1" applyBorder="1" xfId="0">
      <alignment horizontal="center"/>
    </xf>
    <xf numFmtId="2" applyNumberFormat="1" fontId="0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1" applyFont="1" fillId="2" applyFill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edia.mydiamonds.info/certificate/YSUCT009?u=EUNIz5WT2fZuddhkusing20173KEWOyDkGdL+Aiddhkusing2017LlKjLS2pHI80UgLh2lEXn9OFnY8ZCdyLESVvJdNGEOddhkusing2017ahWBZ2w8Hm+OxACm5DP3gT4WtvH1bWD9rPpw=" TargetMode="External"/><Relationship Id="rId2" Type="http://schemas.openxmlformats.org/officeDocument/2006/relationships/hyperlink" Target="https://media.mydiamonds.info/hna/YSUCT009?u=EUNIz5WT2fZuddhkusing20173KEWOyDkGdL+Aiddhkusing2017LlKjLS2pHI80UgLh2lEXn9OFnY8ZCdyLESVvJdNGEOddhkusing2017ahWBZ2w8Hm+OxACm5DP3gT4WtvH1bWD9rPpw=" TargetMode="External"/><Relationship Id="rId3" Type="http://schemas.openxmlformats.org/officeDocument/2006/relationships/hyperlink" Target="https://media.mydiamonds.info/mplayer/YSUCT009?u=EUNIz5WT2fZuddhkusing20173KEWOyDkGdL+Aiddhkusing2017LlKjLS2pHI80UgLh2lEXn9OFnY8ZCdyLESVvJdNGEOddhkusing2017ahWBZ2w8Hm+OxACm5DP3gT4WtvH1bWD9rPpw=" TargetMode="External"/><Relationship Id="rId4" Type="http://schemas.openxmlformats.org/officeDocument/2006/relationships/hyperlink" Target="https://media.mydiamonds.info/diamond-detail.aspx?r=YSUCT009&amp;u=EUNIz5WT2fZuddhkusing20173KEWOyDkGdL+Aiddhkusing2017LlKjLS2pHI80UgLh2lEXn9OFnY8ZCdyLESVvJdNGEOddhkusing2017ahWBZ2w8Hm+OxACm5DP3gT4WtvH1bWD9rPpw=&amp;source=From_Excelweb" TargetMode="External"/><Relationship Id="rId5" Type="http://schemas.openxmlformats.org/officeDocument/2006/relationships/hyperlink" Target="https://media.mydiamonds.info/certificate/YSBZP125?u=EUNIz5WT2fZuddhkusing20173KEWOyDkGdL+Aiddhkusing2017LlKjLS2pHI80UgLh2lEXn9OFnY8ZCdyLESVvJdNGEOddhkusing2017ahWBZ2w8Hm+OxACm5DP3gT4WtvH1bWD9rPpw=" TargetMode="External"/><Relationship Id="rId6" Type="http://schemas.openxmlformats.org/officeDocument/2006/relationships/hyperlink" Target="https://media.mydiamonds.info/hna/YSBZP125?u=EUNIz5WT2fZuddhkusing20173KEWOyDkGdL+Aiddhkusing2017LlKjLS2pHI80UgLh2lEXn9OFnY8ZCdyLESVvJdNGEOddhkusing2017ahWBZ2w8Hm+OxACm5DP3gT4WtvH1bWD9rPpw=" TargetMode="External"/><Relationship Id="rId7" Type="http://schemas.openxmlformats.org/officeDocument/2006/relationships/hyperlink" Target="https://media.mydiamonds.info/mplayer/YSBZP125?u=EUNIz5WT2fZuddhkusing20173KEWOyDkGdL+Aiddhkusing2017LlKjLS2pHI80UgLh2lEXn9OFnY8ZCdyLESVvJdNGEOddhkusing2017ahWBZ2w8Hm+OxACm5DP3gT4WtvH1bWD9rPpw=" TargetMode="External"/><Relationship Id="rId8" Type="http://schemas.openxmlformats.org/officeDocument/2006/relationships/hyperlink" Target="https://media.mydiamonds.info/diamond-detail.aspx?r=YSBZP125&amp;u=EUNIz5WT2fZuddhkusing20173KEWOyDkGdL+Aiddhkusing2017LlKjLS2pHI80UgLh2lEXn9OFnY8ZCdyLESVvJdNGEOddhkusing2017ahWBZ2w8Hm+OxACm5DP3gT4WtvH1bWD9rPpw=&amp;source=From_Excelweb" TargetMode="External"/><Relationship Id="rId9" Type="http://schemas.openxmlformats.org/officeDocument/2006/relationships/hyperlink" Target="https://media.mydiamonds.info/certificate/YSNRR133?u=EUNIz5WT2fZuddhkusing20173KEWOyDkGdL+Aiddhkusing2017LlKjLS2pHI80UgLh2lEXn9OFnY8ZCdyLESVvJdNGEOddhkusing2017ahWBZ2w8Hm+OxACm5DP3gT4WtvH1bWD9rPpw=" TargetMode="External"/><Relationship Id="rId10" Type="http://schemas.openxmlformats.org/officeDocument/2006/relationships/hyperlink" Target="https://media.mydiamonds.info/hna/YSNRR133?u=EUNIz5WT2fZuddhkusing20173KEWOyDkGdL+Aiddhkusing2017LlKjLS2pHI80UgLh2lEXn9OFnY8ZCdyLESVvJdNGEOddhkusing2017ahWBZ2w8Hm+OxACm5DP3gT4WtvH1bWD9rPpw=" TargetMode="External"/><Relationship Id="rId11" Type="http://schemas.openxmlformats.org/officeDocument/2006/relationships/hyperlink" Target="https://media.mydiamonds.info/mplayer/YSNRR133?u=EUNIz5WT2fZuddhkusing20173KEWOyDkGdL+Aiddhkusing2017LlKjLS2pHI80UgLh2lEXn9OFnY8ZCdyLESVvJdNGEOddhkusing2017ahWBZ2w8Hm+OxACm5DP3gT4WtvH1bWD9rPpw=" TargetMode="External"/><Relationship Id="rId12" Type="http://schemas.openxmlformats.org/officeDocument/2006/relationships/hyperlink" Target="https://media.mydiamonds.info/diamond-detail.aspx?r=YSNRR133&amp;u=EUNIz5WT2fZuddhkusing20173KEWOyDkGdL+Aiddhkusing2017LlKjLS2pHI80UgLh2lEXn9OFnY8ZCdyLESVvJdNGEOddhkusing2017ahWBZ2w8Hm+OxACm5DP3gT4WtvH1bWD9rPpw=&amp;source=From_Excelweb" TargetMode="External"/><Relationship Id="rId13" Type="http://schemas.openxmlformats.org/officeDocument/2006/relationships/hyperlink" Target="https://media.mydiamonds.info/certificate/YSCHH013?u=EUNIz5WT2fZuddhkusing20173KEWOyDkGdL+Aiddhkusing2017LlKjLS2pHI80UgLh2lEXn9OFnY8ZCdyLESVvJdNGEOddhkusing2017ahWBZ2w8Hm+OxACm5DP3gT4WtvH1bWD9rPpw=" TargetMode="External"/><Relationship Id="rId14" Type="http://schemas.openxmlformats.org/officeDocument/2006/relationships/hyperlink" Target="https://media.mydiamonds.info/hna/YSCHH013?u=EUNIz5WT2fZuddhkusing20173KEWOyDkGdL+Aiddhkusing2017LlKjLS2pHI80UgLh2lEXn9OFnY8ZCdyLESVvJdNGEOddhkusing2017ahWBZ2w8Hm+OxACm5DP3gT4WtvH1bWD9rPpw=" TargetMode="External"/><Relationship Id="rId15" Type="http://schemas.openxmlformats.org/officeDocument/2006/relationships/hyperlink" Target="https://media.mydiamonds.info/mplayer/YSCHH013?u=EUNIz5WT2fZuddhkusing20173KEWOyDkGdL+Aiddhkusing2017LlKjLS2pHI80UgLh2lEXn9OFnY8ZCdyLESVvJdNGEOddhkusing2017ahWBZ2w8Hm+OxACm5DP3gT4WtvH1bWD9rPpw=" TargetMode="External"/><Relationship Id="rId16" Type="http://schemas.openxmlformats.org/officeDocument/2006/relationships/hyperlink" Target="https://media.mydiamonds.info/diamond-detail.aspx?r=YSCHH013&amp;u=EUNIz5WT2fZuddhkusing20173KEWOyDkGdL+Aiddhkusing2017LlKjLS2pHI80UgLh2lEXn9OFnY8ZCdyLESVvJdNGEOddhkusing2017ahWBZ2w8Hm+OxACm5DP3gT4WtvH1bWD9rPpw=&amp;source=From_Excelweb" TargetMode="External"/><Relationship Id="rId17" Type="http://schemas.openxmlformats.org/officeDocument/2006/relationships/hyperlink" Target="https://media.mydiamonds.info/certificate/YSCIM006?u=EUNIz5WT2fZuddhkusing20173KEWOyDkGdL+Aiddhkusing2017LlKjLS2pHI80UgLh2lEXn9OFnY8ZCdyLESVvJdNGEOddhkusing2017ahWBZ2w8Hm+OxACm5DP3gT4WtvH1bWD9rPpw=" TargetMode="External"/><Relationship Id="rId18" Type="http://schemas.openxmlformats.org/officeDocument/2006/relationships/hyperlink" Target="https://media.mydiamonds.info/hna/YSCIM006?u=EUNIz5WT2fZuddhkusing20173KEWOyDkGdL+Aiddhkusing2017LlKjLS2pHI80UgLh2lEXn9OFnY8ZCdyLESVvJdNGEOddhkusing2017ahWBZ2w8Hm+OxACm5DP3gT4WtvH1bWD9rPpw=" TargetMode="External"/><Relationship Id="rId19" Type="http://schemas.openxmlformats.org/officeDocument/2006/relationships/hyperlink" Target="https://media.mydiamonds.info/mplayer/YSCIM006?u=EUNIz5WT2fZuddhkusing20173KEWOyDkGdL+Aiddhkusing2017LlKjLS2pHI80UgLh2lEXn9OFnY8ZCdyLESVvJdNGEOddhkusing2017ahWBZ2w8Hm+OxACm5DP3gT4WtvH1bWD9rPpw=" TargetMode="External"/><Relationship Id="rId20" Type="http://schemas.openxmlformats.org/officeDocument/2006/relationships/hyperlink" Target="https://media.mydiamonds.info/diamond-detail.aspx?r=YSCIM006&amp;u=EUNIz5WT2fZuddhkusing20173KEWOyDkGdL+Aiddhkusing2017LlKjLS2pHI80UgLh2lEXn9OFnY8ZCdyLESVvJdNGEOddhkusing2017ahWBZ2w8Hm+OxACm5DP3gT4WtvH1bWD9rPpw=&amp;source=From_Excelweb" TargetMode="External"/><Relationship Id="rId21" Type="http://schemas.openxmlformats.org/officeDocument/2006/relationships/hyperlink" Target="https://media.mydiamonds.info/certificate/YSUDO004?u=EUNIz5WT2fZuddhkusing20173KEWOyDkGdL+Aiddhkusing2017LlKjLS2pHI80UgLh2lEXn9OFnY8ZCdyLESVvJdNGEOddhkusing2017ahWBZ2w8Hm+OxACm5DP3gT4WtvH1bWD9rPpw=" TargetMode="External"/><Relationship Id="rId22" Type="http://schemas.openxmlformats.org/officeDocument/2006/relationships/hyperlink" Target="https://media.mydiamonds.info/hna/YSUDO004?u=EUNIz5WT2fZuddhkusing20173KEWOyDkGdL+Aiddhkusing2017LlKjLS2pHI80UgLh2lEXn9OFnY8ZCdyLESVvJdNGEOddhkusing2017ahWBZ2w8Hm+OxACm5DP3gT4WtvH1bWD9rPpw=" TargetMode="External"/><Relationship Id="rId23" Type="http://schemas.openxmlformats.org/officeDocument/2006/relationships/hyperlink" Target="https://media.mydiamonds.info/mplayer/YSUDO004?u=EUNIz5WT2fZuddhkusing20173KEWOyDkGdL+Aiddhkusing2017LlKjLS2pHI80UgLh2lEXn9OFnY8ZCdyLESVvJdNGEOddhkusing2017ahWBZ2w8Hm+OxACm5DP3gT4WtvH1bWD9rPpw=" TargetMode="External"/><Relationship Id="rId24" Type="http://schemas.openxmlformats.org/officeDocument/2006/relationships/hyperlink" Target="https://media.mydiamonds.info/diamond-detail.aspx?r=YSUDO004&amp;u=EUNIz5WT2fZuddhkusing20173KEWOyDkGdL+Aiddhkusing2017LlKjLS2pHI80UgLh2lEXn9OFnY8ZCdyLESVvJdNGEOddhkusing2017ahWBZ2w8Hm+OxACm5DP3gT4WtvH1bWD9rPpw=&amp;source=From_Excelweb" TargetMode="External"/><Relationship Id="rId25" Type="http://schemas.openxmlformats.org/officeDocument/2006/relationships/hyperlink" Target="https://media.mydiamonds.info/certificate/YSNBT083?u=EUNIz5WT2fZuddhkusing20173KEWOyDkGdL+Aiddhkusing2017LlKjLS2pHI80UgLh2lEXn9OFnY8ZCdyLESVvJdNGEOddhkusing2017ahWBZ2w8Hm+OxACm5DP3gT4WtvH1bWD9rPpw=" TargetMode="External"/><Relationship Id="rId26" Type="http://schemas.openxmlformats.org/officeDocument/2006/relationships/hyperlink" Target="https://media.mydiamonds.info/hna/YSNBT083?u=EUNIz5WT2fZuddhkusing20173KEWOyDkGdL+Aiddhkusing2017LlKjLS2pHI80UgLh2lEXn9OFnY8ZCdyLESVvJdNGEOddhkusing2017ahWBZ2w8Hm+OxACm5DP3gT4WtvH1bWD9rPpw=" TargetMode="External"/><Relationship Id="rId27" Type="http://schemas.openxmlformats.org/officeDocument/2006/relationships/hyperlink" Target="https://media.mydiamonds.info/mplayer/YSNBT083?u=EUNIz5WT2fZuddhkusing20173KEWOyDkGdL+Aiddhkusing2017LlKjLS2pHI80UgLh2lEXn9OFnY8ZCdyLESVvJdNGEOddhkusing2017ahWBZ2w8Hm+OxACm5DP3gT4WtvH1bWD9rPpw=" TargetMode="External"/><Relationship Id="rId28" Type="http://schemas.openxmlformats.org/officeDocument/2006/relationships/hyperlink" Target="https://media.mydiamonds.info/diamond-detail.aspx?r=YSNBT083&amp;u=EUNIz5WT2fZuddhkusing20173KEWOyDkGdL+Aiddhkusing2017LlKjLS2pHI80UgLh2lEXn9OFnY8ZCdyLESVvJdNGEOddhkusing2017ahWBZ2w8Hm+OxACm5DP3gT4WtvH1bWD9rPpw=&amp;source=From_Excelweb" TargetMode="External"/><Relationship Id="rId29" Type="http://schemas.openxmlformats.org/officeDocument/2006/relationships/hyperlink" Target="https://media.mydiamonds.info/certificate/YSUDQ047?u=EUNIz5WT2fZuddhkusing20173KEWOyDkGdL+Aiddhkusing2017LlKjLS2pHI80UgLh2lEXn9OFnY8ZCdyLESVvJdNGEOddhkusing2017ahWBZ2w8Hm+OxACm5DP3gT4WtvH1bWD9rPpw=" TargetMode="External"/><Relationship Id="rId30" Type="http://schemas.openxmlformats.org/officeDocument/2006/relationships/hyperlink" Target="https://media.mydiamonds.info/hna/YSUDQ047?u=EUNIz5WT2fZuddhkusing20173KEWOyDkGdL+Aiddhkusing2017LlKjLS2pHI80UgLh2lEXn9OFnY8ZCdyLESVvJdNGEOddhkusing2017ahWBZ2w8Hm+OxACm5DP3gT4WtvH1bWD9rPpw=" TargetMode="External"/><Relationship Id="rId31" Type="http://schemas.openxmlformats.org/officeDocument/2006/relationships/hyperlink" Target="https://media.mydiamonds.info/mplayer/YSUDQ047?u=EUNIz5WT2fZuddhkusing20173KEWOyDkGdL+Aiddhkusing2017LlKjLS2pHI80UgLh2lEXn9OFnY8ZCdyLESVvJdNGEOddhkusing2017ahWBZ2w8Hm+OxACm5DP3gT4WtvH1bWD9rPpw=" TargetMode="External"/><Relationship Id="rId32" Type="http://schemas.openxmlformats.org/officeDocument/2006/relationships/hyperlink" Target="https://media.mydiamonds.info/diamond-detail.aspx?r=YSUDQ047&amp;u=EUNIz5WT2fZuddhkusing20173KEWOyDkGdL+Aiddhkusing2017LlKjLS2pHI80UgLh2lEXn9OFnY8ZCdyLESVvJdNGEOddhkusing2017ahWBZ2w8Hm+OxACm5DP3gT4WtvH1bWD9rPpw=&amp;source=From_Excelweb" TargetMode="External"/><Relationship Id="rId33" Type="http://schemas.openxmlformats.org/officeDocument/2006/relationships/hyperlink" Target="https://media.mydiamonds.info/certificate/YSBXY119?u=EUNIz5WT2fZuddhkusing20173KEWOyDkGdL+Aiddhkusing2017LlKjLS2pHI80UgLh2lEXn9OFnY8ZCdyLESVvJdNGEOddhkusing2017ahWBZ2w8Hm+OxACm5DP3gT4WtvH1bWD9rPpw=" TargetMode="External"/><Relationship Id="rId34" Type="http://schemas.openxmlformats.org/officeDocument/2006/relationships/hyperlink" Target="https://media.mydiamonds.info/hna/YSBXY119?u=EUNIz5WT2fZuddhkusing20173KEWOyDkGdL+Aiddhkusing2017LlKjLS2pHI80UgLh2lEXn9OFnY8ZCdyLESVvJdNGEOddhkusing2017ahWBZ2w8Hm+OxACm5DP3gT4WtvH1bWD9rPpw=" TargetMode="External"/><Relationship Id="rId35" Type="http://schemas.openxmlformats.org/officeDocument/2006/relationships/hyperlink" Target="https://media.mydiamonds.info/mplayer/YSBXY119?u=EUNIz5WT2fZuddhkusing20173KEWOyDkGdL+Aiddhkusing2017LlKjLS2pHI80UgLh2lEXn9OFnY8ZCdyLESVvJdNGEOddhkusing2017ahWBZ2w8Hm+OxACm5DP3gT4WtvH1bWD9rPpw=" TargetMode="External"/><Relationship Id="rId36" Type="http://schemas.openxmlformats.org/officeDocument/2006/relationships/hyperlink" Target="https://media.mydiamonds.info/diamond-detail.aspx?r=YSBXY119&amp;u=EUNIz5WT2fZuddhkusing20173KEWOyDkGdL+Aiddhkusing2017LlKjLS2pHI80UgLh2lEXn9OFnY8ZCdyLESVvJdNGEOddhkusing2017ahWBZ2w8Hm+OxACm5DP3gT4WtvH1bWD9rPpw=&amp;source=From_Excelweb" TargetMode="External"/><Relationship Id="rId37" Type="http://schemas.openxmlformats.org/officeDocument/2006/relationships/hyperlink" Target="https://media.mydiamonds.info/certificate/YSCBQ088?u=EUNIz5WT2fZuddhkusing20173KEWOyDkGdL+Aiddhkusing2017LlKjLS2pHI80UgLh2lEXn9OFnY8ZCdyLESVvJdNGEOddhkusing2017ahWBZ2w8Hm+OxACm5DP3gT4WtvH1bWD9rPpw=" TargetMode="External"/><Relationship Id="rId38" Type="http://schemas.openxmlformats.org/officeDocument/2006/relationships/hyperlink" Target="https://media.mydiamonds.info/hna/YSCBQ088?u=EUNIz5WT2fZuddhkusing20173KEWOyDkGdL+Aiddhkusing2017LlKjLS2pHI80UgLh2lEXn9OFnY8ZCdyLESVvJdNGEOddhkusing2017ahWBZ2w8Hm+OxACm5DP3gT4WtvH1bWD9rPpw=" TargetMode="External"/><Relationship Id="rId39" Type="http://schemas.openxmlformats.org/officeDocument/2006/relationships/hyperlink" Target="https://media.mydiamonds.info/mplayer/YSCBQ088?u=EUNIz5WT2fZuddhkusing20173KEWOyDkGdL+Aiddhkusing2017LlKjLS2pHI80UgLh2lEXn9OFnY8ZCdyLESVvJdNGEOddhkusing2017ahWBZ2w8Hm+OxACm5DP3gT4WtvH1bWD9rPpw=" TargetMode="External"/><Relationship Id="rId40" Type="http://schemas.openxmlformats.org/officeDocument/2006/relationships/hyperlink" Target="https://media.mydiamonds.info/diamond-detail.aspx?r=YSCBQ088&amp;u=EUNIz5WT2fZuddhkusing20173KEWOyDkGdL+Aiddhkusing2017LlKjLS2pHI80UgLh2lEXn9OFnY8ZCdyLESVvJdNGEOddhkusing2017ahWBZ2w8Hm+OxACm5DP3gT4WtvH1bWD9rPpw=&amp;source=From_Excelweb" TargetMode="External"/><Relationship Id="rId41" Type="http://schemas.openxmlformats.org/officeDocument/2006/relationships/hyperlink" Target="https://media.mydiamonds.info/certificate/YSCCC020?u=EUNIz5WT2fZuddhkusing20173KEWOyDkGdL+Aiddhkusing2017LlKjLS2pHI80UgLh2lEXn9OFnY8ZCdyLESVvJdNGEOddhkusing2017ahWBZ2w8Hm+OxACm5DP3gT4WtvH1bWD9rPpw=" TargetMode="External"/><Relationship Id="rId42" Type="http://schemas.openxmlformats.org/officeDocument/2006/relationships/hyperlink" Target="https://media.mydiamonds.info/hna/YSCCC020?u=EUNIz5WT2fZuddhkusing20173KEWOyDkGdL+Aiddhkusing2017LlKjLS2pHI80UgLh2lEXn9OFnY8ZCdyLESVvJdNGEOddhkusing2017ahWBZ2w8Hm+OxACm5DP3gT4WtvH1bWD9rPpw=" TargetMode="External"/><Relationship Id="rId43" Type="http://schemas.openxmlformats.org/officeDocument/2006/relationships/hyperlink" Target="https://media.mydiamonds.info/mplayer/YSCCC020?u=EUNIz5WT2fZuddhkusing20173KEWOyDkGdL+Aiddhkusing2017LlKjLS2pHI80UgLh2lEXn9OFnY8ZCdyLESVvJdNGEOddhkusing2017ahWBZ2w8Hm+OxACm5DP3gT4WtvH1bWD9rPpw=" TargetMode="External"/><Relationship Id="rId44" Type="http://schemas.openxmlformats.org/officeDocument/2006/relationships/hyperlink" Target="https://media.mydiamonds.info/diamond-detail.aspx?r=YSCCC020&amp;u=EUNIz5WT2fZuddhkusing20173KEWOyDkGdL+Aiddhkusing2017LlKjLS2pHI80UgLh2lEXn9OFnY8ZCdyLESVvJdNGEOddhkusing2017ahWBZ2w8Hm+OxACm5DP3gT4WtvH1bWD9rPpw=&amp;source=From_Excelweb" TargetMode="External"/><Relationship Id="rId45" Type="http://schemas.openxmlformats.org/officeDocument/2006/relationships/hyperlink" Target="https://media.mydiamonds.info/certificate/YSUDV008?u=EUNIz5WT2fZuddhkusing20173KEWOyDkGdL+Aiddhkusing2017LlKjLS2pHI80UgLh2lEXn9OFnY8ZCdyLESVvJdNGEOddhkusing2017ahWBZ2w8Hm+OxACm5DP3gT4WtvH1bWD9rPpw=" TargetMode="External"/><Relationship Id="rId46" Type="http://schemas.openxmlformats.org/officeDocument/2006/relationships/hyperlink" Target="https://media.mydiamonds.info/mplayer/YSUDV008?u=EUNIz5WT2fZuddhkusing20173KEWOyDkGdL+Aiddhkusing2017LlKjLS2pHI80UgLh2lEXn9OFnY8ZCdyLESVvJdNGEOddhkusing2017ahWBZ2w8Hm+OxACm5DP3gT4WtvH1bWD9rPpw=" TargetMode="External"/><Relationship Id="rId47" Type="http://schemas.openxmlformats.org/officeDocument/2006/relationships/hyperlink" Target="https://media.mydiamonds.info/diamond-detail.aspx?r=YSUDV008&amp;u=EUNIz5WT2fZuddhkusing20173KEWOyDkGdL+Aiddhkusing2017LlKjLS2pHI80UgLh2lEXn9OFnY8ZCdyLESVvJdNGEOddhkusing2017ahWBZ2w8Hm+OxACm5DP3gT4WtvH1bWD9rPpw=&amp;source=From_Excelweb" TargetMode="External"/><Relationship Id="rId48" Type="http://schemas.openxmlformats.org/officeDocument/2006/relationships/hyperlink" Target="https://media.mydiamonds.info/certificate/YSBOH023?u=EUNIz5WT2fZuddhkusing20173KEWOyDkGdL+Aiddhkusing2017LlKjLS2pHI80UgLh2lEXn9OFnY8ZCdyLESVvJdNGEOddhkusing2017ahWBZ2w8Hm+OxACm5DP3gT4WtvH1bWD9rPpw=" TargetMode="External"/><Relationship Id="rId49" Type="http://schemas.openxmlformats.org/officeDocument/2006/relationships/hyperlink" Target="https://media.mydiamonds.info/hna/YSBOH023?u=EUNIz5WT2fZuddhkusing20173KEWOyDkGdL+Aiddhkusing2017LlKjLS2pHI80UgLh2lEXn9OFnY8ZCdyLESVvJdNGEOddhkusing2017ahWBZ2w8Hm+OxACm5DP3gT4WtvH1bWD9rPpw=" TargetMode="External"/><Relationship Id="rId50" Type="http://schemas.openxmlformats.org/officeDocument/2006/relationships/hyperlink" Target="https://media.mydiamonds.info/mplayer/YSBOH023?u=EUNIz5WT2fZuddhkusing20173KEWOyDkGdL+Aiddhkusing2017LlKjLS2pHI80UgLh2lEXn9OFnY8ZCdyLESVvJdNGEOddhkusing2017ahWBZ2w8Hm+OxACm5DP3gT4WtvH1bWD9rPpw=" TargetMode="External"/><Relationship Id="rId51" Type="http://schemas.openxmlformats.org/officeDocument/2006/relationships/hyperlink" Target="https://media.mydiamonds.info/diamond-detail.aspx?r=YSBOH023&amp;u=EUNIz5WT2fZuddhkusing20173KEWOyDkGdL+Aiddhkusing2017LlKjLS2pHI80UgLh2lEXn9OFnY8ZCdyLESVvJdNGEOddhkusing2017ahWBZ2w8Hm+OxACm5DP3gT4WtvH1bWD9rPpw=&amp;source=From_Excelweb" TargetMode="External"/><Relationship Id="rId52" Type="http://schemas.openxmlformats.org/officeDocument/2006/relationships/hyperlink" Target="https://media.mydiamonds.info/certificate/YSCHN019?u=EUNIz5WT2fZuddhkusing20173KEWOyDkGdL+Aiddhkusing2017LlKjLS2pHI80UgLh2lEXn9OFnY8ZCdyLESVvJdNGEOddhkusing2017ahWBZ2w8Hm+OxACm5DP3gT4WtvH1bWD9rPpw=" TargetMode="External"/><Relationship Id="rId53" Type="http://schemas.openxmlformats.org/officeDocument/2006/relationships/hyperlink" Target="https://media.mydiamonds.info/hna/YSCHN019?u=EUNIz5WT2fZuddhkusing20173KEWOyDkGdL+Aiddhkusing2017LlKjLS2pHI80UgLh2lEXn9OFnY8ZCdyLESVvJdNGEOddhkusing2017ahWBZ2w8Hm+OxACm5DP3gT4WtvH1bWD9rPpw=" TargetMode="External"/><Relationship Id="rId54" Type="http://schemas.openxmlformats.org/officeDocument/2006/relationships/hyperlink" Target="https://media.mydiamonds.info/mplayer/YSCHN019?u=EUNIz5WT2fZuddhkusing20173KEWOyDkGdL+Aiddhkusing2017LlKjLS2pHI80UgLh2lEXn9OFnY8ZCdyLESVvJdNGEOddhkusing2017ahWBZ2w8Hm+OxACm5DP3gT4WtvH1bWD9rPpw=" TargetMode="External"/><Relationship Id="rId55" Type="http://schemas.openxmlformats.org/officeDocument/2006/relationships/hyperlink" Target="https://media.mydiamonds.info/diamond-detail.aspx?r=YSCHN019&amp;u=EUNIz5WT2fZuddhkusing20173KEWOyDkGdL+Aiddhkusing2017LlKjLS2pHI80UgLh2lEXn9OFnY8ZCdyLESVvJdNGEOddhkusing2017ahWBZ2w8Hm+OxACm5DP3gT4WtvH1bWD9rPpw=&amp;source=From_Excelweb" TargetMode="External"/><Relationship Id="rId56" Type="http://schemas.openxmlformats.org/officeDocument/2006/relationships/hyperlink" Target="https://media.mydiamonds.info/certificate/YSUCJ003?u=EUNIz5WT2fZuddhkusing20173KEWOyDkGdL+Aiddhkusing2017LlKjLS2pHI80UgLh2lEXn9OFnY8ZCdyLESVvJdNGEOddhkusing2017ahWBZ2w8Hm+OxACm5DP3gT4WtvH1bWD9rPpw=" TargetMode="External"/><Relationship Id="rId57" Type="http://schemas.openxmlformats.org/officeDocument/2006/relationships/hyperlink" Target="https://media.mydiamonds.info/hna/YSUCJ003?u=EUNIz5WT2fZuddhkusing20173KEWOyDkGdL+Aiddhkusing2017LlKjLS2pHI80UgLh2lEXn9OFnY8ZCdyLESVvJdNGEOddhkusing2017ahWBZ2w8Hm+OxACm5DP3gT4WtvH1bWD9rPpw=" TargetMode="External"/><Relationship Id="rId58" Type="http://schemas.openxmlformats.org/officeDocument/2006/relationships/hyperlink" Target="https://media.mydiamonds.info/mplayer/YSUCJ003?u=EUNIz5WT2fZuddhkusing20173KEWOyDkGdL+Aiddhkusing2017LlKjLS2pHI80UgLh2lEXn9OFnY8ZCdyLESVvJdNGEOddhkusing2017ahWBZ2w8Hm+OxACm5DP3gT4WtvH1bWD9rPpw=" TargetMode="External"/><Relationship Id="rId59" Type="http://schemas.openxmlformats.org/officeDocument/2006/relationships/hyperlink" Target="https://media.mydiamonds.info/diamond-detail.aspx?r=YSUCJ003&amp;u=EUNIz5WT2fZuddhkusing20173KEWOyDkGdL+Aiddhkusing2017LlKjLS2pHI80UgLh2lEXn9OFnY8ZCdyLESVvJdNGEOddhkusing2017ahWBZ2w8Hm+OxACm5DP3gT4WtvH1bWD9rPpw=&amp;source=From_Excelweb" TargetMode="External"/><Relationship Id="rId60" Type="http://schemas.openxmlformats.org/officeDocument/2006/relationships/hyperlink" Target="https://media.mydiamonds.info/certificate/YSCGT036?u=EUNIz5WT2fZuddhkusing20173KEWOyDkGdL+Aiddhkusing2017LlKjLS2pHI80UgLh2lEXn9OFnY8ZCdyLESVvJdNGEOddhkusing2017ahWBZ2w8Hm+OxACm5DP3gT4WtvH1bWD9rPpw=" TargetMode="External"/><Relationship Id="rId61" Type="http://schemas.openxmlformats.org/officeDocument/2006/relationships/hyperlink" Target="https://media.mydiamonds.info/hna/YSCGT036?u=EUNIz5WT2fZuddhkusing20173KEWOyDkGdL+Aiddhkusing2017LlKjLS2pHI80UgLh2lEXn9OFnY8ZCdyLESVvJdNGEOddhkusing2017ahWBZ2w8Hm+OxACm5DP3gT4WtvH1bWD9rPpw=" TargetMode="External"/><Relationship Id="rId62" Type="http://schemas.openxmlformats.org/officeDocument/2006/relationships/hyperlink" Target="https://media.mydiamonds.info/mplayer/YSCGT036?u=EUNIz5WT2fZuddhkusing20173KEWOyDkGdL+Aiddhkusing2017LlKjLS2pHI80UgLh2lEXn9OFnY8ZCdyLESVvJdNGEOddhkusing2017ahWBZ2w8Hm+OxACm5DP3gT4WtvH1bWD9rPpw=" TargetMode="External"/><Relationship Id="rId63" Type="http://schemas.openxmlformats.org/officeDocument/2006/relationships/hyperlink" Target="https://media.mydiamonds.info/diamond-detail.aspx?r=YSCGT036&amp;u=EUNIz5WT2fZuddhkusing20173KEWOyDkGdL+Aiddhkusing2017LlKjLS2pHI80UgLh2lEXn9OFnY8ZCdyLESVvJdNGEOddhkusing2017ahWBZ2w8Hm+OxACm5DP3gT4WtvH1bWD9rPpw=&amp;source=From_Excelweb" TargetMode="External"/><Relationship Id="rId64" Type="http://schemas.openxmlformats.org/officeDocument/2006/relationships/hyperlink" Target="https://media.mydiamonds.info/certificate/YSUCR045?u=EUNIz5WT2fZuddhkusing20173KEWOyDkGdL+Aiddhkusing2017LlKjLS2pHI80UgLh2lEXn9OFnY8ZCdyLESVvJdNGEOddhkusing2017ahWBZ2w8Hm+OxACm5DP3gT4WtvH1bWD9rPpw=" TargetMode="External"/><Relationship Id="rId65" Type="http://schemas.openxmlformats.org/officeDocument/2006/relationships/hyperlink" Target="https://media.mydiamonds.info/hna/YSUCR045?u=EUNIz5WT2fZuddhkusing20173KEWOyDkGdL+Aiddhkusing2017LlKjLS2pHI80UgLh2lEXn9OFnY8ZCdyLESVvJdNGEOddhkusing2017ahWBZ2w8Hm+OxACm5DP3gT4WtvH1bWD9rPpw=" TargetMode="External"/><Relationship Id="rId66" Type="http://schemas.openxmlformats.org/officeDocument/2006/relationships/hyperlink" Target="https://media.mydiamonds.info/mplayer/YSUCR045?u=EUNIz5WT2fZuddhkusing20173KEWOyDkGdL+Aiddhkusing2017LlKjLS2pHI80UgLh2lEXn9OFnY8ZCdyLESVvJdNGEOddhkusing2017ahWBZ2w8Hm+OxACm5DP3gT4WtvH1bWD9rPpw=" TargetMode="External"/><Relationship Id="rId67" Type="http://schemas.openxmlformats.org/officeDocument/2006/relationships/hyperlink" Target="https://media.mydiamonds.info/diamond-detail.aspx?r=YSUCR045&amp;u=EUNIz5WT2fZuddhkusing20173KEWOyDkGdL+Aiddhkusing2017LlKjLS2pHI80UgLh2lEXn9OFnY8ZCdyLESVvJdNGEOddhkusing2017ahWBZ2w8Hm+OxACm5DP3gT4WtvH1bWD9rPpw=&amp;source=From_Excelweb" TargetMode="External"/><Relationship Id="rId68" Type="http://schemas.openxmlformats.org/officeDocument/2006/relationships/hyperlink" Target="https://media.mydiamonds.info/certificate/YSUDK035?u=EUNIz5WT2fZuddhkusing20173KEWOyDkGdL+Aiddhkusing2017LlKjLS2pHI80UgLh2lEXn9OFnY8ZCdyLESVvJdNGEOddhkusing2017ahWBZ2w8Hm+OxACm5DP3gT4WtvH1bWD9rPpw=" TargetMode="External"/><Relationship Id="rId69" Type="http://schemas.openxmlformats.org/officeDocument/2006/relationships/hyperlink" Target="https://media.mydiamonds.info/hna/YSUDK035?u=EUNIz5WT2fZuddhkusing20173KEWOyDkGdL+Aiddhkusing2017LlKjLS2pHI80UgLh2lEXn9OFnY8ZCdyLESVvJdNGEOddhkusing2017ahWBZ2w8Hm+OxACm5DP3gT4WtvH1bWD9rPpw=" TargetMode="External"/><Relationship Id="rId70" Type="http://schemas.openxmlformats.org/officeDocument/2006/relationships/hyperlink" Target="https://media.mydiamonds.info/mplayer/YSUDK035?u=EUNIz5WT2fZuddhkusing20173KEWOyDkGdL+Aiddhkusing2017LlKjLS2pHI80UgLh2lEXn9OFnY8ZCdyLESVvJdNGEOddhkusing2017ahWBZ2w8Hm+OxACm5DP3gT4WtvH1bWD9rPpw=" TargetMode="External"/><Relationship Id="rId71" Type="http://schemas.openxmlformats.org/officeDocument/2006/relationships/hyperlink" Target="https://media.mydiamonds.info/diamond-detail.aspx?r=YSUDK035&amp;u=EUNIz5WT2fZuddhkusing20173KEWOyDkGdL+Aiddhkusing2017LlKjLS2pHI80UgLh2lEXn9OFnY8ZCdyLESVvJdNGEOddhkusing2017ahWBZ2w8Hm+OxACm5DP3gT4WtvH1bWD9rPpw=&amp;source=From_Excelweb" TargetMode="External"/><Relationship Id="rId72" Type="http://schemas.openxmlformats.org/officeDocument/2006/relationships/hyperlink" Target="https://media.mydiamonds.info/certificate/YSUCC077?u=EUNIz5WT2fZuddhkusing20173KEWOyDkGdL+Aiddhkusing2017LlKjLS2pHI80UgLh2lEXn9OFnY8ZCdyLESVvJdNGEOddhkusing2017ahWBZ2w8Hm+OxACm5DP3gT4WtvH1bWD9rPpw=" TargetMode="External"/><Relationship Id="rId73" Type="http://schemas.openxmlformats.org/officeDocument/2006/relationships/hyperlink" Target="https://media.mydiamonds.info/hna/YSUCC077?u=EUNIz5WT2fZuddhkusing20173KEWOyDkGdL+Aiddhkusing2017LlKjLS2pHI80UgLh2lEXn9OFnY8ZCdyLESVvJdNGEOddhkusing2017ahWBZ2w8Hm+OxACm5DP3gT4WtvH1bWD9rPpw=" TargetMode="External"/><Relationship Id="rId74" Type="http://schemas.openxmlformats.org/officeDocument/2006/relationships/hyperlink" Target="https://media.mydiamonds.info/mplayer/YSUCC077?u=EUNIz5WT2fZuddhkusing20173KEWOyDkGdL+Aiddhkusing2017LlKjLS2pHI80UgLh2lEXn9OFnY8ZCdyLESVvJdNGEOddhkusing2017ahWBZ2w8Hm+OxACm5DP3gT4WtvH1bWD9rPpw=" TargetMode="External"/><Relationship Id="rId75" Type="http://schemas.openxmlformats.org/officeDocument/2006/relationships/hyperlink" Target="https://media.mydiamonds.info/diamond-detail.aspx?r=YSUCC077&amp;u=EUNIz5WT2fZuddhkusing20173KEWOyDkGdL+Aiddhkusing2017LlKjLS2pHI80UgLh2lEXn9OFnY8ZCdyLESVvJdNGEOddhkusing2017ahWBZ2w8Hm+OxACm5DP3gT4WtvH1bWD9rPpw=&amp;source=From_Excelweb" TargetMode="External"/><Relationship Id="rId76" Type="http://schemas.openxmlformats.org/officeDocument/2006/relationships/hyperlink" Target="https://media.mydiamonds.info/certificate/YSBEI099?u=EUNIz5WT2fZuddhkusing20173KEWOyDkGdL+Aiddhkusing2017LlKjLS2pHI80UgLh2lEXn9OFnY8ZCdyLESVvJdNGEOddhkusing2017ahWBZ2w8Hm+OxACm5DP3gT4WtvH1bWD9rPpw=" TargetMode="External"/><Relationship Id="rId77" Type="http://schemas.openxmlformats.org/officeDocument/2006/relationships/hyperlink" Target="https://media.mydiamonds.info/hna/YSBEI099?u=EUNIz5WT2fZuddhkusing20173KEWOyDkGdL+Aiddhkusing2017LlKjLS2pHI80UgLh2lEXn9OFnY8ZCdyLESVvJdNGEOddhkusing2017ahWBZ2w8Hm+OxACm5DP3gT4WtvH1bWD9rPpw=" TargetMode="External"/><Relationship Id="rId78" Type="http://schemas.openxmlformats.org/officeDocument/2006/relationships/hyperlink" Target="https://media.mydiamonds.info/mplayer/YSBEI099?u=EUNIz5WT2fZuddhkusing20173KEWOyDkGdL+Aiddhkusing2017LlKjLS2pHI80UgLh2lEXn9OFnY8ZCdyLESVvJdNGEOddhkusing2017ahWBZ2w8Hm+OxACm5DP3gT4WtvH1bWD9rPpw=" TargetMode="External"/><Relationship Id="rId79" Type="http://schemas.openxmlformats.org/officeDocument/2006/relationships/hyperlink" Target="https://media.mydiamonds.info/diamond-detail.aspx?r=YSBEI099&amp;u=EUNIz5WT2fZuddhkusing20173KEWOyDkGdL+Aiddhkusing2017LlKjLS2pHI80UgLh2lEXn9OFnY8ZCdyLESVvJdNGEOddhkusing2017ahWBZ2w8Hm+OxACm5DP3gT4WtvH1bWD9rPpw=&amp;source=From_Excelweb" TargetMode="External"/><Relationship Id="rId80" Type="http://schemas.openxmlformats.org/officeDocument/2006/relationships/hyperlink" Target="https://media.mydiamonds.info/certificate/YSCHH030?u=EUNIz5WT2fZuddhkusing20173KEWOyDkGdL+Aiddhkusing2017LlKjLS2pHI80UgLh2lEXn9OFnY8ZCdyLESVvJdNGEOddhkusing2017ahWBZ2w8Hm+OxACm5DP3gT4WtvH1bWD9rPpw=" TargetMode="External"/><Relationship Id="rId81" Type="http://schemas.openxmlformats.org/officeDocument/2006/relationships/hyperlink" Target="https://media.mydiamonds.info/hna/YSCHH030?u=EUNIz5WT2fZuddhkusing20173KEWOyDkGdL+Aiddhkusing2017LlKjLS2pHI80UgLh2lEXn9OFnY8ZCdyLESVvJdNGEOddhkusing2017ahWBZ2w8Hm+OxACm5DP3gT4WtvH1bWD9rPpw=" TargetMode="External"/><Relationship Id="rId82" Type="http://schemas.openxmlformats.org/officeDocument/2006/relationships/hyperlink" Target="https://media.mydiamonds.info/mplayer/YSCHH030?u=EUNIz5WT2fZuddhkusing20173KEWOyDkGdL+Aiddhkusing2017LlKjLS2pHI80UgLh2lEXn9OFnY8ZCdyLESVvJdNGEOddhkusing2017ahWBZ2w8Hm+OxACm5DP3gT4WtvH1bWD9rPpw=" TargetMode="External"/><Relationship Id="rId83" Type="http://schemas.openxmlformats.org/officeDocument/2006/relationships/hyperlink" Target="https://media.mydiamonds.info/diamond-detail.aspx?r=YSCHH030&amp;u=EUNIz5WT2fZuddhkusing20173KEWOyDkGdL+Aiddhkusing2017LlKjLS2pHI80UgLh2lEXn9OFnY8ZCdyLESVvJdNGEOddhkusing2017ahWBZ2w8Hm+OxACm5DP3gT4WtvH1bWD9rPpw=&amp;source=From_Excelweb" TargetMode="External"/><Relationship Id="rId84" Type="http://schemas.openxmlformats.org/officeDocument/2006/relationships/hyperlink" Target="https://media.mydiamonds.info/certificate/YSCHZ060?u=EUNIz5WT2fZuddhkusing20173KEWOyDkGdL+Aiddhkusing2017LlKjLS2pHI80UgLh2lEXn9OFnY8ZCdyLESVvJdNGEOddhkusing2017ahWBZ2w8Hm+OxACm5DP3gT4WtvH1bWD9rPpw=" TargetMode="External"/><Relationship Id="rId85" Type="http://schemas.openxmlformats.org/officeDocument/2006/relationships/hyperlink" Target="https://media.mydiamonds.info/hna/YSCHZ060?u=EUNIz5WT2fZuddhkusing20173KEWOyDkGdL+Aiddhkusing2017LlKjLS2pHI80UgLh2lEXn9OFnY8ZCdyLESVvJdNGEOddhkusing2017ahWBZ2w8Hm+OxACm5DP3gT4WtvH1bWD9rPpw=" TargetMode="External"/><Relationship Id="rId86" Type="http://schemas.openxmlformats.org/officeDocument/2006/relationships/hyperlink" Target="https://media.mydiamonds.info/mplayer/YSCHZ060?u=EUNIz5WT2fZuddhkusing20173KEWOyDkGdL+Aiddhkusing2017LlKjLS2pHI80UgLh2lEXn9OFnY8ZCdyLESVvJdNGEOddhkusing2017ahWBZ2w8Hm+OxACm5DP3gT4WtvH1bWD9rPpw=" TargetMode="External"/><Relationship Id="rId87" Type="http://schemas.openxmlformats.org/officeDocument/2006/relationships/hyperlink" Target="https://media.mydiamonds.info/diamond-detail.aspx?r=YSCHZ060&amp;u=EUNIz5WT2fZuddhkusing20173KEWOyDkGdL+Aiddhkusing2017LlKjLS2pHI80UgLh2lEXn9OFnY8ZCdyLESVvJdNGEOddhkusing2017ahWBZ2w8Hm+OxACm5DP3gT4WtvH1bWD9rPpw=&amp;source=From_Excelweb" TargetMode="External"/><Relationship Id="rId88" Type="http://schemas.openxmlformats.org/officeDocument/2006/relationships/hyperlink" Target="https://media.mydiamonds.info/certificate/YSCFB049?u=EUNIz5WT2fZuddhkusing20173KEWOyDkGdL+Aiddhkusing2017LlKjLS2pHI80UgLh2lEXn9OFnY8ZCdyLESVvJdNGEOddhkusing2017ahWBZ2w8Hm+OxACm5DP3gT4WtvH1bWD9rPpw=" TargetMode="External"/><Relationship Id="rId89" Type="http://schemas.openxmlformats.org/officeDocument/2006/relationships/hyperlink" Target="https://media.mydiamonds.info/hna/YSCFB049?u=EUNIz5WT2fZuddhkusing20173KEWOyDkGdL+Aiddhkusing2017LlKjLS2pHI80UgLh2lEXn9OFnY8ZCdyLESVvJdNGEOddhkusing2017ahWBZ2w8Hm+OxACm5DP3gT4WtvH1bWD9rPpw=" TargetMode="External"/><Relationship Id="rId90" Type="http://schemas.openxmlformats.org/officeDocument/2006/relationships/hyperlink" Target="https://media.mydiamonds.info/mplayer/YSCFB049?u=EUNIz5WT2fZuddhkusing20173KEWOyDkGdL+Aiddhkusing2017LlKjLS2pHI80UgLh2lEXn9OFnY8ZCdyLESVvJdNGEOddhkusing2017ahWBZ2w8Hm+OxACm5DP3gT4WtvH1bWD9rPpw=" TargetMode="External"/><Relationship Id="rId91" Type="http://schemas.openxmlformats.org/officeDocument/2006/relationships/hyperlink" Target="https://media.mydiamonds.info/diamond-detail.aspx?r=YSCFB049&amp;u=EUNIz5WT2fZuddhkusing20173KEWOyDkGdL+Aiddhkusing2017LlKjLS2pHI80UgLh2lEXn9OFnY8ZCdyLESVvJdNGEOddhkusing2017ahWBZ2w8Hm+OxACm5DP3gT4WtvH1bWD9rPpw=&amp;source=From_Excelweb" TargetMode="External"/><Relationship Id="rId92" Type="http://schemas.openxmlformats.org/officeDocument/2006/relationships/hyperlink" Target="https://media.mydiamonds.info/certificate/YSBBC038?u=EUNIz5WT2fZuddhkusing20173KEWOyDkGdL+Aiddhkusing2017LlKjLS2pHI80UgLh2lEXn9OFnY8ZCdyLESVvJdNGEOddhkusing2017ahWBZ2w8Hm+OxACm5DP3gT4WtvH1bWD9rPpw=" TargetMode="External"/><Relationship Id="rId93" Type="http://schemas.openxmlformats.org/officeDocument/2006/relationships/hyperlink" Target="https://media.mydiamonds.info/hna/YSBBC038?u=EUNIz5WT2fZuddhkusing20173KEWOyDkGdL+Aiddhkusing2017LlKjLS2pHI80UgLh2lEXn9OFnY8ZCdyLESVvJdNGEOddhkusing2017ahWBZ2w8Hm+OxACm5DP3gT4WtvH1bWD9rPpw=" TargetMode="External"/><Relationship Id="rId94" Type="http://schemas.openxmlformats.org/officeDocument/2006/relationships/hyperlink" Target="https://media.mydiamonds.info/mplayer/YSBBC038?u=EUNIz5WT2fZuddhkusing20173KEWOyDkGdL+Aiddhkusing2017LlKjLS2pHI80UgLh2lEXn9OFnY8ZCdyLESVvJdNGEOddhkusing2017ahWBZ2w8Hm+OxACm5DP3gT4WtvH1bWD9rPpw=" TargetMode="External"/><Relationship Id="rId95" Type="http://schemas.openxmlformats.org/officeDocument/2006/relationships/hyperlink" Target="https://media.mydiamonds.info/diamond-detail.aspx?r=YSBBC038&amp;u=EUNIz5WT2fZuddhkusing20173KEWOyDkGdL+Aiddhkusing2017LlKjLS2pHI80UgLh2lEXn9OFnY8ZCdyLESVvJdNGEOddhkusing2017ahWBZ2w8Hm+OxACm5DP3gT4WtvH1bWD9rPpw=&amp;source=From_Excelweb" TargetMode="External"/><Relationship Id="rId96" Type="http://schemas.openxmlformats.org/officeDocument/2006/relationships/hyperlink" Target="https://media.mydiamonds.info/certificate/YSBFW145?u=EUNIz5WT2fZuddhkusing20173KEWOyDkGdL+Aiddhkusing2017LlKjLS2pHI80UgLh2lEXn9OFnY8ZCdyLESVvJdNGEOddhkusing2017ahWBZ2w8Hm+OxACm5DP3gT4WtvH1bWD9rPpw=" TargetMode="External"/><Relationship Id="rId97" Type="http://schemas.openxmlformats.org/officeDocument/2006/relationships/hyperlink" Target="https://media.mydiamonds.info/diamond-detail.aspx?r=YSBFW145&amp;u=EUNIz5WT2fZuddhkusing20173KEWOyDkGdL+Aiddhkusing2017LlKjLS2pHI80UgLh2lEXn9OFnY8ZCdyLESVvJdNGEOddhkusing2017ahWBZ2w8Hm+OxACm5DP3gT4WtvH1bWD9rPpw=&amp;source=From_Excelweb" TargetMode="External"/><Relationship Id="rId98" Type="http://schemas.openxmlformats.org/officeDocument/2006/relationships/hyperlink" Target="https://media.mydiamonds.info/certificate/YSBVN064?u=EUNIz5WT2fZuddhkusing20173KEWOyDkGdL+Aiddhkusing2017LlKjLS2pHI80UgLh2lEXn9OFnY8ZCdyLESVvJdNGEOddhkusing2017ahWBZ2w8Hm+OxACm5DP3gT4WtvH1bWD9rPpw=" TargetMode="External"/><Relationship Id="rId99" Type="http://schemas.openxmlformats.org/officeDocument/2006/relationships/hyperlink" Target="https://media.mydiamonds.info/hna/YSBVN064?u=EUNIz5WT2fZuddhkusing20173KEWOyDkGdL+Aiddhkusing2017LlKjLS2pHI80UgLh2lEXn9OFnY8ZCdyLESVvJdNGEOddhkusing2017ahWBZ2w8Hm+OxACm5DP3gT4WtvH1bWD9rPpw=" TargetMode="External"/><Relationship Id="rId100" Type="http://schemas.openxmlformats.org/officeDocument/2006/relationships/hyperlink" Target="https://media.mydiamonds.info/mplayer/YSBVN064?u=EUNIz5WT2fZuddhkusing20173KEWOyDkGdL+Aiddhkusing2017LlKjLS2pHI80UgLh2lEXn9OFnY8ZCdyLESVvJdNGEOddhkusing2017ahWBZ2w8Hm+OxACm5DP3gT4WtvH1bWD9rPpw=" TargetMode="External"/><Relationship Id="rId101" Type="http://schemas.openxmlformats.org/officeDocument/2006/relationships/hyperlink" Target="https://media.mydiamonds.info/diamond-detail.aspx?r=YSBVN064&amp;u=EUNIz5WT2fZuddhkusing20173KEWOyDkGdL+Aiddhkusing2017LlKjLS2pHI80UgLh2lEXn9OFnY8ZCdyLESVvJdNGEOddhkusing2017ahWBZ2w8Hm+OxACm5DP3gT4WtvH1bWD9rPpw=&amp;source=From_Excelweb" TargetMode="External"/><Relationship Id="rId102" Type="http://schemas.openxmlformats.org/officeDocument/2006/relationships/hyperlink" Target="https://media.mydiamonds.info/certificate/YSCBQ073?u=EUNIz5WT2fZuddhkusing20173KEWOyDkGdL+Aiddhkusing2017LlKjLS2pHI80UgLh2lEXn9OFnY8ZCdyLESVvJdNGEOddhkusing2017ahWBZ2w8Hm+OxACm5DP3gT4WtvH1bWD9rPpw=" TargetMode="External"/><Relationship Id="rId103" Type="http://schemas.openxmlformats.org/officeDocument/2006/relationships/hyperlink" Target="https://media.mydiamonds.info/hna/YSCBQ073?u=EUNIz5WT2fZuddhkusing20173KEWOyDkGdL+Aiddhkusing2017LlKjLS2pHI80UgLh2lEXn9OFnY8ZCdyLESVvJdNGEOddhkusing2017ahWBZ2w8Hm+OxACm5DP3gT4WtvH1bWD9rPpw=" TargetMode="External"/><Relationship Id="rId104" Type="http://schemas.openxmlformats.org/officeDocument/2006/relationships/hyperlink" Target="https://media.mydiamonds.info/mplayer/YSCBQ073?u=EUNIz5WT2fZuddhkusing20173KEWOyDkGdL+Aiddhkusing2017LlKjLS2pHI80UgLh2lEXn9OFnY8ZCdyLESVvJdNGEOddhkusing2017ahWBZ2w8Hm+OxACm5DP3gT4WtvH1bWD9rPpw=" TargetMode="External"/><Relationship Id="rId105" Type="http://schemas.openxmlformats.org/officeDocument/2006/relationships/hyperlink" Target="https://media.mydiamonds.info/diamond-detail.aspx?r=YSCBQ073&amp;u=EUNIz5WT2fZuddhkusing20173KEWOyDkGdL+Aiddhkusing2017LlKjLS2pHI80UgLh2lEXn9OFnY8ZCdyLESVvJdNGEOddhkusing2017ahWBZ2w8Hm+OxACm5DP3gT4WtvH1bWD9rPpw=&amp;source=From_Excelweb" TargetMode="External"/><Relationship Id="rId106" Type="http://schemas.openxmlformats.org/officeDocument/2006/relationships/hyperlink" Target="https://media.mydiamonds.info/certificate/YSCCC009?u=EUNIz5WT2fZuddhkusing20173KEWOyDkGdL+Aiddhkusing2017LlKjLS2pHI80UgLh2lEXn9OFnY8ZCdyLESVvJdNGEOddhkusing2017ahWBZ2w8Hm+OxACm5DP3gT4WtvH1bWD9rPpw=" TargetMode="External"/><Relationship Id="rId107" Type="http://schemas.openxmlformats.org/officeDocument/2006/relationships/hyperlink" Target="https://media.mydiamonds.info/hna/YSCCC009?u=EUNIz5WT2fZuddhkusing20173KEWOyDkGdL+Aiddhkusing2017LlKjLS2pHI80UgLh2lEXn9OFnY8ZCdyLESVvJdNGEOddhkusing2017ahWBZ2w8Hm+OxACm5DP3gT4WtvH1bWD9rPpw=" TargetMode="External"/><Relationship Id="rId108" Type="http://schemas.openxmlformats.org/officeDocument/2006/relationships/hyperlink" Target="https://media.mydiamonds.info/mplayer/YSCCC009?u=EUNIz5WT2fZuddhkusing20173KEWOyDkGdL+Aiddhkusing2017LlKjLS2pHI80UgLh2lEXn9OFnY8ZCdyLESVvJdNGEOddhkusing2017ahWBZ2w8Hm+OxACm5DP3gT4WtvH1bWD9rPpw=" TargetMode="External"/><Relationship Id="rId109" Type="http://schemas.openxmlformats.org/officeDocument/2006/relationships/hyperlink" Target="https://media.mydiamonds.info/diamond-detail.aspx?r=YSCCC009&amp;u=EUNIz5WT2fZuddhkusing20173KEWOyDkGdL+Aiddhkusing2017LlKjLS2pHI80UgLh2lEXn9OFnY8ZCdyLESVvJdNGEOddhkusing2017ahWBZ2w8Hm+OxACm5DP3gT4WtvH1bWD9rPpw=&amp;source=From_Excelweb" TargetMode="External"/><Relationship Id="rId110" Type="http://schemas.openxmlformats.org/officeDocument/2006/relationships/hyperlink" Target="https://media.mydiamonds.info/certificate/YSUDG083?u=EUNIz5WT2fZuddhkusing20173KEWOyDkGdL+Aiddhkusing2017LlKjLS2pHI80UgLh2lEXn9OFnY8ZCdyLESVvJdNGEOddhkusing2017ahWBZ2w8Hm+OxACm5DP3gT4WtvH1bWD9rPpw=" TargetMode="External"/><Relationship Id="rId111" Type="http://schemas.openxmlformats.org/officeDocument/2006/relationships/hyperlink" Target="https://media.mydiamonds.info/hna/YSUDG083?u=EUNIz5WT2fZuddhkusing20173KEWOyDkGdL+Aiddhkusing2017LlKjLS2pHI80UgLh2lEXn9OFnY8ZCdyLESVvJdNGEOddhkusing2017ahWBZ2w8Hm+OxACm5DP3gT4WtvH1bWD9rPpw=" TargetMode="External"/><Relationship Id="rId112" Type="http://schemas.openxmlformats.org/officeDocument/2006/relationships/hyperlink" Target="https://media.mydiamonds.info/mplayer/YSUDG083?u=EUNIz5WT2fZuddhkusing20173KEWOyDkGdL+Aiddhkusing2017LlKjLS2pHI80UgLh2lEXn9OFnY8ZCdyLESVvJdNGEOddhkusing2017ahWBZ2w8Hm+OxACm5DP3gT4WtvH1bWD9rPpw=" TargetMode="External"/><Relationship Id="rId113" Type="http://schemas.openxmlformats.org/officeDocument/2006/relationships/hyperlink" Target="https://media.mydiamonds.info/diamond-detail.aspx?r=YSUDG083&amp;u=EUNIz5WT2fZuddhkusing20173KEWOyDkGdL+Aiddhkusing2017LlKjLS2pHI80UgLh2lEXn9OFnY8ZCdyLESVvJdNGEOddhkusing2017ahWBZ2w8Hm+OxACm5DP3gT4WtvH1bWD9rPpw=&amp;source=From_Excelweb" TargetMode="External"/><Relationship Id="rId114" Type="http://schemas.openxmlformats.org/officeDocument/2006/relationships/hyperlink" Target="https://media.mydiamonds.info/certificate/YSCAE062?u=EUNIz5WT2fZuddhkusing20173KEWOyDkGdL+Aiddhkusing2017LlKjLS2pHI80UgLh2lEXn9OFnY8ZCdyLESVvJdNGEOddhkusing2017ahWBZ2w8Hm+OxACm5DP3gT4WtvH1bWD9rPpw=" TargetMode="External"/><Relationship Id="rId115" Type="http://schemas.openxmlformats.org/officeDocument/2006/relationships/hyperlink" Target="https://media.mydiamonds.info/hna/YSCAE062?u=EUNIz5WT2fZuddhkusing20173KEWOyDkGdL+Aiddhkusing2017LlKjLS2pHI80UgLh2lEXn9OFnY8ZCdyLESVvJdNGEOddhkusing2017ahWBZ2w8Hm+OxACm5DP3gT4WtvH1bWD9rPpw=" TargetMode="External"/><Relationship Id="rId116" Type="http://schemas.openxmlformats.org/officeDocument/2006/relationships/hyperlink" Target="https://media.mydiamonds.info/mplayer/YSCAE062?u=EUNIz5WT2fZuddhkusing20173KEWOyDkGdL+Aiddhkusing2017LlKjLS2pHI80UgLh2lEXn9OFnY8ZCdyLESVvJdNGEOddhkusing2017ahWBZ2w8Hm+OxACm5DP3gT4WtvH1bWD9rPpw=" TargetMode="External"/><Relationship Id="rId117" Type="http://schemas.openxmlformats.org/officeDocument/2006/relationships/hyperlink" Target="https://media.mydiamonds.info/diamond-detail.aspx?r=YSCAE062&amp;u=EUNIz5WT2fZuddhkusing20173KEWOyDkGdL+Aiddhkusing2017LlKjLS2pHI80UgLh2lEXn9OFnY8ZCdyLESVvJdNGEOddhkusing2017ahWBZ2w8Hm+OxACm5DP3gT4WtvH1bWD9rPpw=&amp;source=From_Excelweb" TargetMode="External"/><Relationship Id="rId118" Type="http://schemas.openxmlformats.org/officeDocument/2006/relationships/hyperlink" Target="https://media.mydiamonds.info/certificate/YSCID014?u=EUNIz5WT2fZuddhkusing20173KEWOyDkGdL+Aiddhkusing2017LlKjLS2pHI80UgLh2lEXn9OFnY8ZCdyLESVvJdNGEOddhkusing2017ahWBZ2w8Hm+OxACm5DP3gT4WtvH1bWD9rPpw=" TargetMode="External"/><Relationship Id="rId119" Type="http://schemas.openxmlformats.org/officeDocument/2006/relationships/hyperlink" Target="https://media.mydiamonds.info/mplayer/YSCID014?u=EUNIz5WT2fZuddhkusing20173KEWOyDkGdL+Aiddhkusing2017LlKjLS2pHI80UgLh2lEXn9OFnY8ZCdyLESVvJdNGEOddhkusing2017ahWBZ2w8Hm+OxACm5DP3gT4WtvH1bWD9rPpw=" TargetMode="External"/><Relationship Id="rId120" Type="http://schemas.openxmlformats.org/officeDocument/2006/relationships/hyperlink" Target="https://media.mydiamonds.info/diamond-detail.aspx?r=YSCID014&amp;u=EUNIz5WT2fZuddhkusing20173KEWOyDkGdL+Aiddhkusing2017LlKjLS2pHI80UgLh2lEXn9OFnY8ZCdyLESVvJdNGEOddhkusing2017ahWBZ2w8Hm+OxACm5DP3gT4WtvH1bWD9rPpw=&amp;source=From_Excelweb" TargetMode="External"/><Relationship Id="rId121" Type="http://schemas.openxmlformats.org/officeDocument/2006/relationships/hyperlink" Target="https://media.mydiamonds.info/certificate/YSCFO053?u=EUNIz5WT2fZuddhkusing20173KEWOyDkGdL+Aiddhkusing2017LlKjLS2pHI80UgLh2lEXn9OFnY8ZCdyLESVvJdNGEOddhkusing2017ahWBZ2w8Hm+OxACm5DP3gT4WtvH1bWD9rPpw=" TargetMode="External"/><Relationship Id="rId122" Type="http://schemas.openxmlformats.org/officeDocument/2006/relationships/hyperlink" Target="https://media.mydiamonds.info/mplayer/YSCFO053?u=EUNIz5WT2fZuddhkusing20173KEWOyDkGdL+Aiddhkusing2017LlKjLS2pHI80UgLh2lEXn9OFnY8ZCdyLESVvJdNGEOddhkusing2017ahWBZ2w8Hm+OxACm5DP3gT4WtvH1bWD9rPpw=" TargetMode="External"/><Relationship Id="rId123" Type="http://schemas.openxmlformats.org/officeDocument/2006/relationships/hyperlink" Target="https://media.mydiamonds.info/diamond-detail.aspx?r=YSCFO053&amp;u=EUNIz5WT2fZuddhkusing20173KEWOyDkGdL+Aiddhkusing2017LlKjLS2pHI80UgLh2lEXn9OFnY8ZCdyLESVvJdNGEOddhkusing2017ahWBZ2w8Hm+OxACm5DP3gT4WtvH1bWD9rPpw=&amp;source=From_Excelweb" TargetMode="External"/><Relationship Id="rId124" Type="http://schemas.openxmlformats.org/officeDocument/2006/relationships/hyperlink" Target="https://media.mydiamonds.info/certificate/YSCBQ134?u=EUNIz5WT2fZuddhkusing20173KEWOyDkGdL+Aiddhkusing2017LlKjLS2pHI80UgLh2lEXn9OFnY8ZCdyLESVvJdNGEOddhkusing2017ahWBZ2w8Hm+OxACm5DP3gT4WtvH1bWD9rPpw=" TargetMode="External"/><Relationship Id="rId125" Type="http://schemas.openxmlformats.org/officeDocument/2006/relationships/hyperlink" Target="https://media.mydiamonds.info/mplayer/YSCBQ134?u=EUNIz5WT2fZuddhkusing20173KEWOyDkGdL+Aiddhkusing2017LlKjLS2pHI80UgLh2lEXn9OFnY8ZCdyLESVvJdNGEOddhkusing2017ahWBZ2w8Hm+OxACm5DP3gT4WtvH1bWD9rPpw=" TargetMode="External"/><Relationship Id="rId126" Type="http://schemas.openxmlformats.org/officeDocument/2006/relationships/hyperlink" Target="https://media.mydiamonds.info/diamond-detail.aspx?r=YSCBQ134&amp;u=EUNIz5WT2fZuddhkusing20173KEWOyDkGdL+Aiddhkusing2017LlKjLS2pHI80UgLh2lEXn9OFnY8ZCdyLESVvJdNGEOddhkusing2017ahWBZ2w8Hm+OxACm5DP3gT4WtvH1bWD9rPpw=&amp;source=From_Excelweb" TargetMode="External"/><Relationship Id="rId127" Type="http://schemas.openxmlformats.org/officeDocument/2006/relationships/hyperlink" Target="https://media.mydiamonds.info/certificate/YSNMZ211?u=EUNIz5WT2fZuddhkusing20173KEWOyDkGdL+Aiddhkusing2017LlKjLS2pHI80UgLh2lEXn9OFnY8ZCdyLESVvJdNGEOddhkusing2017ahWBZ2w8Hm+OxACm5DP3gT4WtvH1bWD9rPpw=" TargetMode="External"/><Relationship Id="rId128" Type="http://schemas.openxmlformats.org/officeDocument/2006/relationships/hyperlink" Target="https://media.mydiamonds.info/mplayer/YSNMZ211?u=EUNIz5WT2fZuddhkusing20173KEWOyDkGdL+Aiddhkusing2017LlKjLS2pHI80UgLh2lEXn9OFnY8ZCdyLESVvJdNGEOddhkusing2017ahWBZ2w8Hm+OxACm5DP3gT4WtvH1bWD9rPpw=" TargetMode="External"/><Relationship Id="rId129" Type="http://schemas.openxmlformats.org/officeDocument/2006/relationships/hyperlink" Target="https://media.mydiamonds.info/diamond-detail.aspx?r=YSNMZ211&amp;u=EUNIz5WT2fZuddhkusing20173KEWOyDkGdL+Aiddhkusing2017LlKjLS2pHI80UgLh2lEXn9OFnY8ZCdyLESVvJdNGEOddhkusing2017ahWBZ2w8Hm+OxACm5DP3gT4WtvH1bWD9rPpw=&amp;source=From_Excelweb" TargetMode="External"/><Relationship Id="rId130" Type="http://schemas.openxmlformats.org/officeDocument/2006/relationships/hyperlink" Target="https://media.mydiamonds.info/certificate/YSNII019?u=EUNIz5WT2fZuddhkusing20173KEWOyDkGdL+Aiddhkusing2017LlKjLS2pHI80UgLh2lEXn9OFnY8ZCdyLESVvJdNGEOddhkusing2017ahWBZ2w8Hm+OxACm5DP3gT4WtvH1bWD9rPpw=" TargetMode="External"/><Relationship Id="rId131" Type="http://schemas.openxmlformats.org/officeDocument/2006/relationships/hyperlink" Target="https://media.mydiamonds.info/mplayer/YSNII019?u=EUNIz5WT2fZuddhkusing20173KEWOyDkGdL+Aiddhkusing2017LlKjLS2pHI80UgLh2lEXn9OFnY8ZCdyLESVvJdNGEOddhkusing2017ahWBZ2w8Hm+OxACm5DP3gT4WtvH1bWD9rPpw=" TargetMode="External"/><Relationship Id="rId132" Type="http://schemas.openxmlformats.org/officeDocument/2006/relationships/hyperlink" Target="https://media.mydiamonds.info/diamond-detail.aspx?r=YSNII019&amp;u=EUNIz5WT2fZuddhkusing20173KEWOyDkGdL+Aiddhkusing2017LlKjLS2pHI80UgLh2lEXn9OFnY8ZCdyLESVvJdNGEOddhkusing2017ahWBZ2w8Hm+OxACm5DP3gT4WtvH1bWD9rPpw=&amp;source=From_Excelweb" TargetMode="External"/><Relationship Id="rId133" Type="http://schemas.openxmlformats.org/officeDocument/2006/relationships/hyperlink" Target="https://media.mydiamonds.info/certificate/YSUCC160?u=EUNIz5WT2fZuddhkusing20173KEWOyDkGdL+Aiddhkusing2017LlKjLS2pHI80UgLh2lEXn9OFnY8ZCdyLESVvJdNGEOddhkusing2017ahWBZ2w8Hm+OxACm5DP3gT4WtvH1bWD9rPpw=" TargetMode="External"/><Relationship Id="rId134" Type="http://schemas.openxmlformats.org/officeDocument/2006/relationships/hyperlink" Target="https://media.mydiamonds.info/hna/YSUCC160?u=EUNIz5WT2fZuddhkusing20173KEWOyDkGdL+Aiddhkusing2017LlKjLS2pHI80UgLh2lEXn9OFnY8ZCdyLESVvJdNGEOddhkusing2017ahWBZ2w8Hm+OxACm5DP3gT4WtvH1bWD9rPpw=" TargetMode="External"/><Relationship Id="rId135" Type="http://schemas.openxmlformats.org/officeDocument/2006/relationships/hyperlink" Target="https://media.mydiamonds.info/mplayer/YSUCC160?u=EUNIz5WT2fZuddhkusing20173KEWOyDkGdL+Aiddhkusing2017LlKjLS2pHI80UgLh2lEXn9OFnY8ZCdyLESVvJdNGEOddhkusing2017ahWBZ2w8Hm+OxACm5DP3gT4WtvH1bWD9rPpw=" TargetMode="External"/><Relationship Id="rId136" Type="http://schemas.openxmlformats.org/officeDocument/2006/relationships/hyperlink" Target="https://media.mydiamonds.info/diamond-detail.aspx?r=YSUCC160&amp;u=EUNIz5WT2fZuddhkusing20173KEWOyDkGdL+Aiddhkusing2017LlKjLS2pHI80UgLh2lEXn9OFnY8ZCdyLESVvJdNGEOddhkusing2017ahWBZ2w8Hm+OxACm5DP3gT4WtvH1bWD9rPpw=&amp;source=From_Excelweb" TargetMode="External"/><Relationship Id="rId137" Type="http://schemas.openxmlformats.org/officeDocument/2006/relationships/hyperlink" Target="https://media.mydiamonds.info/certificate/YSNHR001?u=EUNIz5WT2fZuddhkusing20173KEWOyDkGdL+Aiddhkusing2017LlKjLS2pHI80UgLh2lEXn9OFnY8ZCdyLESVvJdNGEOddhkusing2017ahWBZ2w8Hm+OxACm5DP3gT4WtvH1bWD9rPpw=" TargetMode="External"/><Relationship Id="rId138" Type="http://schemas.openxmlformats.org/officeDocument/2006/relationships/hyperlink" Target="https://media.mydiamonds.info/mplayer/YSNHR001?u=EUNIz5WT2fZuddhkusing20173KEWOyDkGdL+Aiddhkusing2017LlKjLS2pHI80UgLh2lEXn9OFnY8ZCdyLESVvJdNGEOddhkusing2017ahWBZ2w8Hm+OxACm5DP3gT4WtvH1bWD9rPpw=" TargetMode="External"/><Relationship Id="rId139" Type="http://schemas.openxmlformats.org/officeDocument/2006/relationships/hyperlink" Target="https://media.mydiamonds.info/diamond-detail.aspx?r=YSNHR001&amp;u=EUNIz5WT2fZuddhkusing20173KEWOyDkGdL+Aiddhkusing2017LlKjLS2pHI80UgLh2lEXn9OFnY8ZCdyLESVvJdNGEOddhkusing2017ahWBZ2w8Hm+OxACm5DP3gT4WtvH1bWD9rPpw=&amp;source=From_Excelweb" TargetMode="External"/><Relationship Id="rId140" Type="http://schemas.openxmlformats.org/officeDocument/2006/relationships/hyperlink" Target="https://media.mydiamonds.info/certificate/YSCGQ066?u=EUNIz5WT2fZuddhkusing20173KEWOyDkGdL+Aiddhkusing2017LlKjLS2pHI80UgLh2lEXn9OFnY8ZCdyLESVvJdNGEOddhkusing2017ahWBZ2w8Hm+OxACm5DP3gT4WtvH1bWD9rPpw=" TargetMode="External"/><Relationship Id="rId141" Type="http://schemas.openxmlformats.org/officeDocument/2006/relationships/hyperlink" Target="https://media.mydiamonds.info/hna/YSCGQ066?u=EUNIz5WT2fZuddhkusing20173KEWOyDkGdL+Aiddhkusing2017LlKjLS2pHI80UgLh2lEXn9OFnY8ZCdyLESVvJdNGEOddhkusing2017ahWBZ2w8Hm+OxACm5DP3gT4WtvH1bWD9rPpw=" TargetMode="External"/><Relationship Id="rId142" Type="http://schemas.openxmlformats.org/officeDocument/2006/relationships/hyperlink" Target="https://media.mydiamonds.info/mplayer/YSCGQ066?u=EUNIz5WT2fZuddhkusing20173KEWOyDkGdL+Aiddhkusing2017LlKjLS2pHI80UgLh2lEXn9OFnY8ZCdyLESVvJdNGEOddhkusing2017ahWBZ2w8Hm+OxACm5DP3gT4WtvH1bWD9rPpw=" TargetMode="External"/><Relationship Id="rId143" Type="http://schemas.openxmlformats.org/officeDocument/2006/relationships/hyperlink" Target="https://media.mydiamonds.info/diamond-detail.aspx?r=YSCGQ066&amp;u=EUNIz5WT2fZuddhkusing20173KEWOyDkGdL+Aiddhkusing2017LlKjLS2pHI80UgLh2lEXn9OFnY8ZCdyLESVvJdNGEOddhkusing2017ahWBZ2w8Hm+OxACm5DP3gT4WtvH1bWD9rPpw=&amp;source=From_Excelweb" TargetMode="External"/><Relationship Id="rId144" Type="http://schemas.openxmlformats.org/officeDocument/2006/relationships/hyperlink" Target="https://media.mydiamonds.info/certificate/YSCHN010?u=EUNIz5WT2fZuddhkusing20173KEWOyDkGdL+Aiddhkusing2017LlKjLS2pHI80UgLh2lEXn9OFnY8ZCdyLESVvJdNGEOddhkusing2017ahWBZ2w8Hm+OxACm5DP3gT4WtvH1bWD9rPpw=" TargetMode="External"/><Relationship Id="rId145" Type="http://schemas.openxmlformats.org/officeDocument/2006/relationships/hyperlink" Target="https://media.mydiamonds.info/hna/YSCHN010?u=EUNIz5WT2fZuddhkusing20173KEWOyDkGdL+Aiddhkusing2017LlKjLS2pHI80UgLh2lEXn9OFnY8ZCdyLESVvJdNGEOddhkusing2017ahWBZ2w8Hm+OxACm5DP3gT4WtvH1bWD9rPpw=" TargetMode="External"/><Relationship Id="rId146" Type="http://schemas.openxmlformats.org/officeDocument/2006/relationships/hyperlink" Target="https://media.mydiamonds.info/mplayer/YSCHN010?u=EUNIz5WT2fZuddhkusing20173KEWOyDkGdL+Aiddhkusing2017LlKjLS2pHI80UgLh2lEXn9OFnY8ZCdyLESVvJdNGEOddhkusing2017ahWBZ2w8Hm+OxACm5DP3gT4WtvH1bWD9rPpw=" TargetMode="External"/><Relationship Id="rId147" Type="http://schemas.openxmlformats.org/officeDocument/2006/relationships/hyperlink" Target="https://media.mydiamonds.info/diamond-detail.aspx?r=YSCHN010&amp;u=EUNIz5WT2fZuddhkusing20173KEWOyDkGdL+Aiddhkusing2017LlKjLS2pHI80UgLh2lEXn9OFnY8ZCdyLESVvJdNGEOddhkusing2017ahWBZ2w8Hm+OxACm5DP3gT4WtvH1bWD9rPpw=&amp;source=From_Excelweb" TargetMode="External"/><Relationship Id="rId148" Type="http://schemas.openxmlformats.org/officeDocument/2006/relationships/hyperlink" Target="https://media.mydiamonds.info/certificate/YSCFO048?u=EUNIz5WT2fZuddhkusing20173KEWOyDkGdL+Aiddhkusing2017LlKjLS2pHI80UgLh2lEXn9OFnY8ZCdyLESVvJdNGEOddhkusing2017ahWBZ2w8Hm+OxACm5DP3gT4WtvH1bWD9rPpw=" TargetMode="External"/><Relationship Id="rId149" Type="http://schemas.openxmlformats.org/officeDocument/2006/relationships/hyperlink" Target="https://media.mydiamonds.info/mplayer/YSCFO048?u=EUNIz5WT2fZuddhkusing20173KEWOyDkGdL+Aiddhkusing2017LlKjLS2pHI80UgLh2lEXn9OFnY8ZCdyLESVvJdNGEOddhkusing2017ahWBZ2w8Hm+OxACm5DP3gT4WtvH1bWD9rPpw=" TargetMode="External"/><Relationship Id="rId150" Type="http://schemas.openxmlformats.org/officeDocument/2006/relationships/hyperlink" Target="https://media.mydiamonds.info/diamond-detail.aspx?r=YSCFO048&amp;u=EUNIz5WT2fZuddhkusing20173KEWOyDkGdL+Aiddhkusing2017LlKjLS2pHI80UgLh2lEXn9OFnY8ZCdyLESVvJdNGEOddhkusing2017ahWBZ2w8Hm+OxACm5DP3gT4WtvH1bWD9rPpw=&amp;source=From_Excelweb" TargetMode="External"/><Relationship Id="rId151" Type="http://schemas.openxmlformats.org/officeDocument/2006/relationships/hyperlink" Target="https://media.mydiamonds.info/certificate/YSMMR127?u=EUNIz5WT2fZuddhkusing20173KEWOyDkGdL+Aiddhkusing2017LlKjLS2pHI80UgLh2lEXn9OFnY8ZCdyLESVvJdNGEOddhkusing2017ahWBZ2w8Hm+OxACm5DP3gT4WtvH1bWD9rPpw=" TargetMode="External"/><Relationship Id="rId152" Type="http://schemas.openxmlformats.org/officeDocument/2006/relationships/hyperlink" Target="https://media.mydiamonds.info/hna/YSMMR127?u=EUNIz5WT2fZuddhkusing20173KEWOyDkGdL+Aiddhkusing2017LlKjLS2pHI80UgLh2lEXn9OFnY8ZCdyLESVvJdNGEOddhkusing2017ahWBZ2w8Hm+OxACm5DP3gT4WtvH1bWD9rPpw=" TargetMode="External"/><Relationship Id="rId153" Type="http://schemas.openxmlformats.org/officeDocument/2006/relationships/hyperlink" Target="https://media.mydiamonds.info/mplayer/YSMMR127?u=EUNIz5WT2fZuddhkusing20173KEWOyDkGdL+Aiddhkusing2017LlKjLS2pHI80UgLh2lEXn9OFnY8ZCdyLESVvJdNGEOddhkusing2017ahWBZ2w8Hm+OxACm5DP3gT4WtvH1bWD9rPpw=" TargetMode="External"/><Relationship Id="rId154" Type="http://schemas.openxmlformats.org/officeDocument/2006/relationships/hyperlink" Target="https://media.mydiamonds.info/diamond-detail.aspx?r=YSMMR127&amp;u=EUNIz5WT2fZuddhkusing20173KEWOyDkGdL+Aiddhkusing2017LlKjLS2pHI80UgLh2lEXn9OFnY8ZCdyLESVvJdNGEOddhkusing2017ahWBZ2w8Hm+OxACm5DP3gT4WtvH1bWD9rPpw=&amp;source=From_Excelweb" TargetMode="External"/><Relationship Id="rId155" Type="http://schemas.openxmlformats.org/officeDocument/2006/relationships/hyperlink" Target="https://media.mydiamonds.info/certificate/YSBOX040?u=EUNIz5WT2fZuddhkusing20173KEWOyDkGdL+Aiddhkusing2017LlKjLS2pHI80UgLh2lEXn9OFnY8ZCdyLESVvJdNGEOddhkusing2017ahWBZ2w8Hm+OxACm5DP3gT4WtvH1bWD9rPpw=" TargetMode="External"/><Relationship Id="rId156" Type="http://schemas.openxmlformats.org/officeDocument/2006/relationships/hyperlink" Target="https://media.mydiamonds.info/mplayer/YSBOX040?u=EUNIz5WT2fZuddhkusing20173KEWOyDkGdL+Aiddhkusing2017LlKjLS2pHI80UgLh2lEXn9OFnY8ZCdyLESVvJdNGEOddhkusing2017ahWBZ2w8Hm+OxACm5DP3gT4WtvH1bWD9rPpw=" TargetMode="External"/><Relationship Id="rId157" Type="http://schemas.openxmlformats.org/officeDocument/2006/relationships/hyperlink" Target="https://media.mydiamonds.info/diamond-detail.aspx?r=YSBOX040&amp;u=EUNIz5WT2fZuddhkusing20173KEWOyDkGdL+Aiddhkusing2017LlKjLS2pHI80UgLh2lEXn9OFnY8ZCdyLESVvJdNGEOddhkusing2017ahWBZ2w8Hm+OxACm5DP3gT4WtvH1bWD9rPpw=&amp;source=From_Excelweb" TargetMode="External"/><Relationship Id="rId158" Type="http://schemas.openxmlformats.org/officeDocument/2006/relationships/hyperlink" Target="https://media.mydiamonds.info/certificate/YSBWC104?u=EUNIz5WT2fZuddhkusing20173KEWOyDkGdL+Aiddhkusing2017LlKjLS2pHI80UgLh2lEXn9OFnY8ZCdyLESVvJdNGEOddhkusing2017ahWBZ2w8Hm+OxACm5DP3gT4WtvH1bWD9rPpw=" TargetMode="External"/><Relationship Id="rId159" Type="http://schemas.openxmlformats.org/officeDocument/2006/relationships/hyperlink" Target="https://media.mydiamonds.info/hna/YSBWC104?u=EUNIz5WT2fZuddhkusing20173KEWOyDkGdL+Aiddhkusing2017LlKjLS2pHI80UgLh2lEXn9OFnY8ZCdyLESVvJdNGEOddhkusing2017ahWBZ2w8Hm+OxACm5DP3gT4WtvH1bWD9rPpw=" TargetMode="External"/><Relationship Id="rId160" Type="http://schemas.openxmlformats.org/officeDocument/2006/relationships/hyperlink" Target="https://media.mydiamonds.info/mplayer/YSBWC104?u=EUNIz5WT2fZuddhkusing20173KEWOyDkGdL+Aiddhkusing2017LlKjLS2pHI80UgLh2lEXn9OFnY8ZCdyLESVvJdNGEOddhkusing2017ahWBZ2w8Hm+OxACm5DP3gT4WtvH1bWD9rPpw=" TargetMode="External"/><Relationship Id="rId161" Type="http://schemas.openxmlformats.org/officeDocument/2006/relationships/hyperlink" Target="https://media.mydiamonds.info/diamond-detail.aspx?r=YSBWC104&amp;u=EUNIz5WT2fZuddhkusing20173KEWOyDkGdL+Aiddhkusing2017LlKjLS2pHI80UgLh2lEXn9OFnY8ZCdyLESVvJdNGEOddhkusing2017ahWBZ2w8Hm+OxACm5DP3gT4WtvH1bWD9rPpw=&amp;source=From_Excelweb" TargetMode="External"/><Relationship Id="rId162" Type="http://schemas.openxmlformats.org/officeDocument/2006/relationships/hyperlink" Target="https://media.mydiamonds.info/certificate/YSNEM069?u=EUNIz5WT2fZuddhkusing20173KEWOyDkGdL+Aiddhkusing2017LlKjLS2pHI80UgLh2lEXn9OFnY8ZCdyLESVvJdNGEOddhkusing2017ahWBZ2w8Hm+OxACm5DP3gT4WtvH1bWD9rPpw=" TargetMode="External"/><Relationship Id="rId163" Type="http://schemas.openxmlformats.org/officeDocument/2006/relationships/hyperlink" Target="https://media.mydiamonds.info/hna/YSNEM069?u=EUNIz5WT2fZuddhkusing20173KEWOyDkGdL+Aiddhkusing2017LlKjLS2pHI80UgLh2lEXn9OFnY8ZCdyLESVvJdNGEOddhkusing2017ahWBZ2w8Hm+OxACm5DP3gT4WtvH1bWD9rPpw=" TargetMode="External"/><Relationship Id="rId164" Type="http://schemas.openxmlformats.org/officeDocument/2006/relationships/hyperlink" Target="https://media.mydiamonds.info/mplayer/YSNEM069?u=EUNIz5WT2fZuddhkusing20173KEWOyDkGdL+Aiddhkusing2017LlKjLS2pHI80UgLh2lEXn9OFnY8ZCdyLESVvJdNGEOddhkusing2017ahWBZ2w8Hm+OxACm5DP3gT4WtvH1bWD9rPpw=" TargetMode="External"/><Relationship Id="rId165" Type="http://schemas.openxmlformats.org/officeDocument/2006/relationships/hyperlink" Target="https://media.mydiamonds.info/diamond-detail.aspx?r=YSNEM069&amp;u=EUNIz5WT2fZuddhkusing20173KEWOyDkGdL+Aiddhkusing2017LlKjLS2pHI80UgLh2lEXn9OFnY8ZCdyLESVvJdNGEOddhkusing2017ahWBZ2w8Hm+OxACm5DP3gT4WtvH1bWD9rPpw=&amp;source=From_Excelweb" TargetMode="External"/><Relationship Id="rId166" Type="http://schemas.openxmlformats.org/officeDocument/2006/relationships/hyperlink" Target="https://media.mydiamonds.info/certificate/YSCBX062?u=EUNIz5WT2fZuddhkusing20173KEWOyDkGdL+Aiddhkusing2017LlKjLS2pHI80UgLh2lEXn9OFnY8ZCdyLESVvJdNGEOddhkusing2017ahWBZ2w8Hm+OxACm5DP3gT4WtvH1bWD9rPpw=" TargetMode="External"/><Relationship Id="rId167" Type="http://schemas.openxmlformats.org/officeDocument/2006/relationships/hyperlink" Target="https://media.mydiamonds.info/hna/YSCBX062?u=EUNIz5WT2fZuddhkusing20173KEWOyDkGdL+Aiddhkusing2017LlKjLS2pHI80UgLh2lEXn9OFnY8ZCdyLESVvJdNGEOddhkusing2017ahWBZ2w8Hm+OxACm5DP3gT4WtvH1bWD9rPpw=" TargetMode="External"/><Relationship Id="rId168" Type="http://schemas.openxmlformats.org/officeDocument/2006/relationships/hyperlink" Target="https://media.mydiamonds.info/mplayer/YSCBX062?u=EUNIz5WT2fZuddhkusing20173KEWOyDkGdL+Aiddhkusing2017LlKjLS2pHI80UgLh2lEXn9OFnY8ZCdyLESVvJdNGEOddhkusing2017ahWBZ2w8Hm+OxACm5DP3gT4WtvH1bWD9rPpw=" TargetMode="External"/><Relationship Id="rId169" Type="http://schemas.openxmlformats.org/officeDocument/2006/relationships/hyperlink" Target="https://media.mydiamonds.info/diamond-detail.aspx?r=YSCBX062&amp;u=EUNIz5WT2fZuddhkusing20173KEWOyDkGdL+Aiddhkusing2017LlKjLS2pHI80UgLh2lEXn9OFnY8ZCdyLESVvJdNGEOddhkusing2017ahWBZ2w8Hm+OxACm5DP3gT4WtvH1bWD9rPpw=&amp;source=From_Excelweb" TargetMode="External"/><Relationship Id="rId170" Type="http://schemas.openxmlformats.org/officeDocument/2006/relationships/hyperlink" Target="https://media.mydiamonds.info/certificate/YSCHN003?u=EUNIz5WT2fZuddhkusing20173KEWOyDkGdL+Aiddhkusing2017LlKjLS2pHI80UgLh2lEXn9OFnY8ZCdyLESVvJdNGEOddhkusing2017ahWBZ2w8Hm+OxACm5DP3gT4WtvH1bWD9rPpw=" TargetMode="External"/><Relationship Id="rId171" Type="http://schemas.openxmlformats.org/officeDocument/2006/relationships/hyperlink" Target="https://media.mydiamonds.info/hna/YSCHN003?u=EUNIz5WT2fZuddhkusing20173KEWOyDkGdL+Aiddhkusing2017LlKjLS2pHI80UgLh2lEXn9OFnY8ZCdyLESVvJdNGEOddhkusing2017ahWBZ2w8Hm+OxACm5DP3gT4WtvH1bWD9rPpw=" TargetMode="External"/><Relationship Id="rId172" Type="http://schemas.openxmlformats.org/officeDocument/2006/relationships/hyperlink" Target="https://media.mydiamonds.info/mplayer/YSCHN003?u=EUNIz5WT2fZuddhkusing20173KEWOyDkGdL+Aiddhkusing2017LlKjLS2pHI80UgLh2lEXn9OFnY8ZCdyLESVvJdNGEOddhkusing2017ahWBZ2w8Hm+OxACm5DP3gT4WtvH1bWD9rPpw=" TargetMode="External"/><Relationship Id="rId173" Type="http://schemas.openxmlformats.org/officeDocument/2006/relationships/hyperlink" Target="https://media.mydiamonds.info/diamond-detail.aspx?r=YSCHN003&amp;u=EUNIz5WT2fZuddhkusing20173KEWOyDkGdL+Aiddhkusing2017LlKjLS2pHI80UgLh2lEXn9OFnY8ZCdyLESVvJdNGEOddhkusing2017ahWBZ2w8Hm+OxACm5DP3gT4WtvH1bWD9rPpw=&amp;source=From_Excelweb" TargetMode="External"/><Relationship Id="rId174" Type="http://schemas.openxmlformats.org/officeDocument/2006/relationships/hyperlink" Target="https://media.mydiamonds.info/certificate/XSBWY008?u=EUNIz5WT2fZuddhkusing20173KEWOyDkGdL+Aiddhkusing2017LlKjLS2pHI80UgLh2lEXn9OFnY8ZCdyLESVvJdNGEOddhkusing2017ahWBZ2w8Hm+OxACm5DP3gT4WtvH1bWD9rPpw=" TargetMode="External"/><Relationship Id="rId175" Type="http://schemas.openxmlformats.org/officeDocument/2006/relationships/hyperlink" Target="https://media.mydiamonds.info/mplayer/XSBWY008?u=EUNIz5WT2fZuddhkusing20173KEWOyDkGdL+Aiddhkusing2017LlKjLS2pHI80UgLh2lEXn9OFnY8ZCdyLESVvJdNGEOddhkusing2017ahWBZ2w8Hm+OxACm5DP3gT4WtvH1bWD9rPpw=" TargetMode="External"/><Relationship Id="rId176" Type="http://schemas.openxmlformats.org/officeDocument/2006/relationships/hyperlink" Target="https://media.mydiamonds.info/diamond-detail.aspx?r=XSBWY008&amp;u=EUNIz5WT2fZuddhkusing20173KEWOyDkGdL+Aiddhkusing2017LlKjLS2pHI80UgLh2lEXn9OFnY8ZCdyLESVvJdNGEOddhkusing2017ahWBZ2w8Hm+OxACm5DP3gT4WtvH1bWD9rPpw=&amp;source=From_Excelweb" TargetMode="External"/><Relationship Id="rId177" Type="http://schemas.openxmlformats.org/officeDocument/2006/relationships/hyperlink" Target="https://media.mydiamonds.info/certificate/YSMXA096?u=EUNIz5WT2fZuddhkusing20173KEWOyDkGdL+Aiddhkusing2017LlKjLS2pHI80UgLh2lEXn9OFnY8ZCdyLESVvJdNGEOddhkusing2017ahWBZ2w8Hm+OxACm5DP3gT4WtvH1bWD9rPpw=" TargetMode="External"/><Relationship Id="rId178" Type="http://schemas.openxmlformats.org/officeDocument/2006/relationships/hyperlink" Target="https://media.mydiamonds.info/hna/YSMXA096?u=EUNIz5WT2fZuddhkusing20173KEWOyDkGdL+Aiddhkusing2017LlKjLS2pHI80UgLh2lEXn9OFnY8ZCdyLESVvJdNGEOddhkusing2017ahWBZ2w8Hm+OxACm5DP3gT4WtvH1bWD9rPpw=" TargetMode="External"/><Relationship Id="rId179" Type="http://schemas.openxmlformats.org/officeDocument/2006/relationships/hyperlink" Target="https://media.mydiamonds.info/mplayer/YSMXA096?u=EUNIz5WT2fZuddhkusing20173KEWOyDkGdL+Aiddhkusing2017LlKjLS2pHI80UgLh2lEXn9OFnY8ZCdyLESVvJdNGEOddhkusing2017ahWBZ2w8Hm+OxACm5DP3gT4WtvH1bWD9rPpw=" TargetMode="External"/><Relationship Id="rId180" Type="http://schemas.openxmlformats.org/officeDocument/2006/relationships/hyperlink" Target="https://media.mydiamonds.info/diamond-detail.aspx?r=YSMXA096&amp;u=EUNIz5WT2fZuddhkusing20173KEWOyDkGdL+Aiddhkusing2017LlKjLS2pHI80UgLh2lEXn9OFnY8ZCdyLESVvJdNGEOddhkusing2017ahWBZ2w8Hm+OxACm5DP3gT4WtvH1bWD9rPpw=&amp;source=From_Excelweb" TargetMode="External"/><Relationship Id="rId181" Type="http://schemas.openxmlformats.org/officeDocument/2006/relationships/hyperlink" Target="https://media.mydiamonds.info/certificate/XSBLW100?u=EUNIz5WT2fZuddhkusing20173KEWOyDkGdL+Aiddhkusing2017LlKjLS2pHI80UgLh2lEXn9OFnY8ZCdyLESVvJdNGEOddhkusing2017ahWBZ2w8Hm+OxACm5DP3gT4WtvH1bWD9rPpw=" TargetMode="External"/><Relationship Id="rId182" Type="http://schemas.openxmlformats.org/officeDocument/2006/relationships/hyperlink" Target="https://media.mydiamonds.info/hna/XSBLW100?u=EUNIz5WT2fZuddhkusing20173KEWOyDkGdL+Aiddhkusing2017LlKjLS2pHI80UgLh2lEXn9OFnY8ZCdyLESVvJdNGEOddhkusing2017ahWBZ2w8Hm+OxACm5DP3gT4WtvH1bWD9rPpw=" TargetMode="External"/><Relationship Id="rId183" Type="http://schemas.openxmlformats.org/officeDocument/2006/relationships/hyperlink" Target="https://media.mydiamonds.info/mplayer/XSBLW100?u=EUNIz5WT2fZuddhkusing20173KEWOyDkGdL+Aiddhkusing2017LlKjLS2pHI80UgLh2lEXn9OFnY8ZCdyLESVvJdNGEOddhkusing2017ahWBZ2w8Hm+OxACm5DP3gT4WtvH1bWD9rPpw=" TargetMode="External"/><Relationship Id="rId184" Type="http://schemas.openxmlformats.org/officeDocument/2006/relationships/hyperlink" Target="https://media.mydiamonds.info/diamond-detail.aspx?r=XSBLW100&amp;u=EUNIz5WT2fZuddhkusing20173KEWOyDkGdL+Aiddhkusing2017LlKjLS2pHI80UgLh2lEXn9OFnY8ZCdyLESVvJdNGEOddhkusing2017ahWBZ2w8Hm+OxACm5DP3gT4WtvH1bWD9rPpw=&amp;source=From_Excelweb" TargetMode="External"/><Relationship Id="rId185" Type="http://schemas.openxmlformats.org/officeDocument/2006/relationships/hyperlink" Target="https://media.mydiamonds.info/certificate/YSCDN021?u=EUNIz5WT2fZuddhkusing20173KEWOyDkGdL+Aiddhkusing2017LlKjLS2pHI80UgLh2lEXn9OFnY8ZCdyLESVvJdNGEOddhkusing2017ahWBZ2w8Hm+OxACm5DP3gT4WtvH1bWD9rPpw=" TargetMode="External"/><Relationship Id="rId186" Type="http://schemas.openxmlformats.org/officeDocument/2006/relationships/hyperlink" Target="https://media.mydiamonds.info/hna/YSCDN021?u=EUNIz5WT2fZuddhkusing20173KEWOyDkGdL+Aiddhkusing2017LlKjLS2pHI80UgLh2lEXn9OFnY8ZCdyLESVvJdNGEOddhkusing2017ahWBZ2w8Hm+OxACm5DP3gT4WtvH1bWD9rPpw=" TargetMode="External"/><Relationship Id="rId187" Type="http://schemas.openxmlformats.org/officeDocument/2006/relationships/hyperlink" Target="https://media.mydiamonds.info/mplayer/YSCDN021?u=EUNIz5WT2fZuddhkusing20173KEWOyDkGdL+Aiddhkusing2017LlKjLS2pHI80UgLh2lEXn9OFnY8ZCdyLESVvJdNGEOddhkusing2017ahWBZ2w8Hm+OxACm5DP3gT4WtvH1bWD9rPpw=" TargetMode="External"/><Relationship Id="rId188" Type="http://schemas.openxmlformats.org/officeDocument/2006/relationships/hyperlink" Target="https://media.mydiamonds.info/diamond-detail.aspx?r=YSCDN021&amp;u=EUNIz5WT2fZuddhkusing20173KEWOyDkGdL+Aiddhkusing2017LlKjLS2pHI80UgLh2lEXn9OFnY8ZCdyLESVvJdNGEOddhkusing2017ahWBZ2w8Hm+OxACm5DP3gT4WtvH1bWD9rPpw=&amp;source=From_Excelweb" TargetMode="External"/><Relationship Id="rId189" Type="http://schemas.openxmlformats.org/officeDocument/2006/relationships/hyperlink" Target="https://media.mydiamonds.info/certificate/YSCDU047?u=EUNIz5WT2fZuddhkusing20173KEWOyDkGdL+Aiddhkusing2017LlKjLS2pHI80UgLh2lEXn9OFnY8ZCdyLESVvJdNGEOddhkusing2017ahWBZ2w8Hm+OxACm5DP3gT4WtvH1bWD9rPpw=" TargetMode="External"/><Relationship Id="rId190" Type="http://schemas.openxmlformats.org/officeDocument/2006/relationships/hyperlink" Target="https://media.mydiamonds.info/mplayer/YSCDU047?u=EUNIz5WT2fZuddhkusing20173KEWOyDkGdL+Aiddhkusing2017LlKjLS2pHI80UgLh2lEXn9OFnY8ZCdyLESVvJdNGEOddhkusing2017ahWBZ2w8Hm+OxACm5DP3gT4WtvH1bWD9rPpw=" TargetMode="External"/><Relationship Id="rId191" Type="http://schemas.openxmlformats.org/officeDocument/2006/relationships/hyperlink" Target="https://media.mydiamonds.info/diamond-detail.aspx?r=YSCDU047&amp;u=EUNIz5WT2fZuddhkusing20173KEWOyDkGdL+Aiddhkusing2017LlKjLS2pHI80UgLh2lEXn9OFnY8ZCdyLESVvJdNGEOddhkusing2017ahWBZ2w8Hm+OxACm5DP3gT4WtvH1bWD9rPpw=&amp;source=From_Excelweb" TargetMode="External"/><Relationship Id="rId192" Type="http://schemas.openxmlformats.org/officeDocument/2006/relationships/hyperlink" Target="https://media.mydiamonds.info/certificate/ZPBE00004?u=EUNIz5WT2fZuddhkusing20173KEWOyDkGdL+Aiddhkusing2017LlKjLS2pHI80UgLh2lEXn9OFnY8ZCdyLESVvJdNGEOddhkusing2017ahWBZ2w8Hm+OxACm5DP3gT4WtvH1bWD9rPpw=" TargetMode="External"/><Relationship Id="rId193" Type="http://schemas.openxmlformats.org/officeDocument/2006/relationships/hyperlink" Target="https://media.mydiamonds.info/diamond-detail.aspx?r=ZPBE00004&amp;u=EUNIz5WT2fZuddhkusing20173KEWOyDkGdL+Aiddhkusing2017LlKjLS2pHI80UgLh2lEXn9OFnY8ZCdyLESVvJdNGEOddhkusing2017ahWBZ2w8Hm+OxACm5DP3gT4WtvH1bWD9rPpw=&amp;source=From_Excelweb" TargetMode="External"/><Relationship Id="rId194" Type="http://schemas.openxmlformats.org/officeDocument/2006/relationships/hyperlink" Target="https://media.mydiamonds.info/certificate/XSBZT012?u=EUNIz5WT2fZuddhkusing20173KEWOyDkGdL+Aiddhkusing2017LlKjLS2pHI80UgLh2lEXn9OFnY8ZCdyLESVvJdNGEOddhkusing2017ahWBZ2w8Hm+OxACm5DP3gT4WtvH1bWD9rPpw=" TargetMode="External"/><Relationship Id="rId195" Type="http://schemas.openxmlformats.org/officeDocument/2006/relationships/hyperlink" Target="https://media.mydiamonds.info/mplayer/XSBZT012?u=EUNIz5WT2fZuddhkusing20173KEWOyDkGdL+Aiddhkusing2017LlKjLS2pHI80UgLh2lEXn9OFnY8ZCdyLESVvJdNGEOddhkusing2017ahWBZ2w8Hm+OxACm5DP3gT4WtvH1bWD9rPpw=" TargetMode="External"/><Relationship Id="rId196" Type="http://schemas.openxmlformats.org/officeDocument/2006/relationships/hyperlink" Target="https://media.mydiamonds.info/diamond-detail.aspx?r=XSBZT012&amp;u=EUNIz5WT2fZuddhkusing20173KEWOyDkGdL+Aiddhkusing2017LlKjLS2pHI80UgLh2lEXn9OFnY8ZCdyLESVvJdNGEOddhkusing2017ahWBZ2w8Hm+OxACm5DP3gT4WtvH1bWD9rPpw=&amp;source=From_Excelweb" TargetMode="External"/><Relationship Id="rId197" Type="http://schemas.openxmlformats.org/officeDocument/2006/relationships/hyperlink" Target="https://media.mydiamonds.info/certificate/YSNRB084?u=EUNIz5WT2fZuddhkusing20173KEWOyDkGdL+Aiddhkusing2017LlKjLS2pHI80UgLh2lEXn9OFnY8ZCdyLESVvJdNGEOddhkusing2017ahWBZ2w8Hm+OxACm5DP3gT4WtvH1bWD9rPpw=" TargetMode="External"/><Relationship Id="rId198" Type="http://schemas.openxmlformats.org/officeDocument/2006/relationships/hyperlink" Target="https://media.mydiamonds.info/hna/YSNRB084?u=EUNIz5WT2fZuddhkusing20173KEWOyDkGdL+Aiddhkusing2017LlKjLS2pHI80UgLh2lEXn9OFnY8ZCdyLESVvJdNGEOddhkusing2017ahWBZ2w8Hm+OxACm5DP3gT4WtvH1bWD9rPpw=" TargetMode="External"/><Relationship Id="rId199" Type="http://schemas.openxmlformats.org/officeDocument/2006/relationships/hyperlink" Target="https://media.mydiamonds.info/mplayer/YSNRB084?u=EUNIz5WT2fZuddhkusing20173KEWOyDkGdL+Aiddhkusing2017LlKjLS2pHI80UgLh2lEXn9OFnY8ZCdyLESVvJdNGEOddhkusing2017ahWBZ2w8Hm+OxACm5DP3gT4WtvH1bWD9rPpw=" TargetMode="External"/><Relationship Id="rId200" Type="http://schemas.openxmlformats.org/officeDocument/2006/relationships/hyperlink" Target="https://media.mydiamonds.info/diamond-detail.aspx?r=YSNRB084&amp;u=EUNIz5WT2fZuddhkusing20173KEWOyDkGdL+Aiddhkusing2017LlKjLS2pHI80UgLh2lEXn9OFnY8ZCdyLESVvJdNGEOddhkusing2017ahWBZ2w8Hm+OxACm5DP3gT4WtvH1bWD9rPpw=&amp;source=From_Excelweb" TargetMode="External"/><Relationship Id="rId201" Type="http://schemas.openxmlformats.org/officeDocument/2006/relationships/hyperlink" Target="https://media.mydiamonds.info/certificate/YSCEO042?u=EUNIz5WT2fZuddhkusing20173KEWOyDkGdL+Aiddhkusing2017LlKjLS2pHI80UgLh2lEXn9OFnY8ZCdyLESVvJdNGEOddhkusing2017ahWBZ2w8Hm+OxACm5DP3gT4WtvH1bWD9rPpw=" TargetMode="External"/><Relationship Id="rId202" Type="http://schemas.openxmlformats.org/officeDocument/2006/relationships/hyperlink" Target="https://media.mydiamonds.info/hna/YSCEO042?u=EUNIz5WT2fZuddhkusing20173KEWOyDkGdL+Aiddhkusing2017LlKjLS2pHI80UgLh2lEXn9OFnY8ZCdyLESVvJdNGEOddhkusing2017ahWBZ2w8Hm+OxACm5DP3gT4WtvH1bWD9rPpw=" TargetMode="External"/><Relationship Id="rId203" Type="http://schemas.openxmlformats.org/officeDocument/2006/relationships/hyperlink" Target="https://media.mydiamonds.info/mplayer/YSCEO042?u=EUNIz5WT2fZuddhkusing20173KEWOyDkGdL+Aiddhkusing2017LlKjLS2pHI80UgLh2lEXn9OFnY8ZCdyLESVvJdNGEOddhkusing2017ahWBZ2w8Hm+OxACm5DP3gT4WtvH1bWD9rPpw=" TargetMode="External"/><Relationship Id="rId204" Type="http://schemas.openxmlformats.org/officeDocument/2006/relationships/hyperlink" Target="https://media.mydiamonds.info/diamond-detail.aspx?r=YSCEO042&amp;u=EUNIz5WT2fZuddhkusing20173KEWOyDkGdL+Aiddhkusing2017LlKjLS2pHI80UgLh2lEXn9OFnY8ZCdyLESVvJdNGEOddhkusing2017ahWBZ2w8Hm+OxACm5DP3gT4WtvH1bWD9rPpw=&amp;source=From_Excelweb" TargetMode="External"/><Relationship Id="rId205" Type="http://schemas.openxmlformats.org/officeDocument/2006/relationships/hyperlink" Target="https://media.mydiamonds.info/certificate/XSBPN049?u=EUNIz5WT2fZuddhkusing20173KEWOyDkGdL+Aiddhkusing2017LlKjLS2pHI80UgLh2lEXn9OFnY8ZCdyLESVvJdNGEOddhkusing2017ahWBZ2w8Hm+OxACm5DP3gT4WtvH1bWD9rPpw=" TargetMode="External"/><Relationship Id="rId206" Type="http://schemas.openxmlformats.org/officeDocument/2006/relationships/hyperlink" Target="https://media.mydiamonds.info/mplayer/XSBPN049?u=EUNIz5WT2fZuddhkusing20173KEWOyDkGdL+Aiddhkusing2017LlKjLS2pHI80UgLh2lEXn9OFnY8ZCdyLESVvJdNGEOddhkusing2017ahWBZ2w8Hm+OxACm5DP3gT4WtvH1bWD9rPpw=" TargetMode="External"/><Relationship Id="rId207" Type="http://schemas.openxmlformats.org/officeDocument/2006/relationships/hyperlink" Target="https://media.mydiamonds.info/diamond-detail.aspx?r=XSBPN049&amp;u=EUNIz5WT2fZuddhkusing20173KEWOyDkGdL+Aiddhkusing2017LlKjLS2pHI80UgLh2lEXn9OFnY8ZCdyLESVvJdNGEOddhkusing2017ahWBZ2w8Hm+OxACm5DP3gT4WtvH1bWD9rPpw=&amp;source=From_Excelweb" TargetMode="External"/><Relationship Id="rId208" Type="http://schemas.openxmlformats.org/officeDocument/2006/relationships/hyperlink" Target="https://media.mydiamonds.info/certificate/YSNRR141?u=EUNIz5WT2fZuddhkusing20173KEWOyDkGdL+Aiddhkusing2017LlKjLS2pHI80UgLh2lEXn9OFnY8ZCdyLESVvJdNGEOddhkusing2017ahWBZ2w8Hm+OxACm5DP3gT4WtvH1bWD9rPpw=" TargetMode="External"/><Relationship Id="rId209" Type="http://schemas.openxmlformats.org/officeDocument/2006/relationships/hyperlink" Target="https://media.mydiamonds.info/hna/YSNRR141?u=EUNIz5WT2fZuddhkusing20173KEWOyDkGdL+Aiddhkusing2017LlKjLS2pHI80UgLh2lEXn9OFnY8ZCdyLESVvJdNGEOddhkusing2017ahWBZ2w8Hm+OxACm5DP3gT4WtvH1bWD9rPpw=" TargetMode="External"/><Relationship Id="rId210" Type="http://schemas.openxmlformats.org/officeDocument/2006/relationships/hyperlink" Target="https://media.mydiamonds.info/mplayer/YSNRR141?u=EUNIz5WT2fZuddhkusing20173KEWOyDkGdL+Aiddhkusing2017LlKjLS2pHI80UgLh2lEXn9OFnY8ZCdyLESVvJdNGEOddhkusing2017ahWBZ2w8Hm+OxACm5DP3gT4WtvH1bWD9rPpw=" TargetMode="External"/><Relationship Id="rId211" Type="http://schemas.openxmlformats.org/officeDocument/2006/relationships/hyperlink" Target="https://media.mydiamonds.info/diamond-detail.aspx?r=YSNRR141&amp;u=EUNIz5WT2fZuddhkusing20173KEWOyDkGdL+Aiddhkusing2017LlKjLS2pHI80UgLh2lEXn9OFnY8ZCdyLESVvJdNGEOddhkusing2017ahWBZ2w8Hm+OxACm5DP3gT4WtvH1bWD9rPpw=&amp;source=From_Excelweb" TargetMode="External"/><Relationship Id="rId212" Type="http://schemas.openxmlformats.org/officeDocument/2006/relationships/hyperlink" Target="https://media.mydiamonds.info/certificate/YSCIM018?u=EUNIz5WT2fZuddhkusing20173KEWOyDkGdL+Aiddhkusing2017LlKjLS2pHI80UgLh2lEXn9OFnY8ZCdyLESVvJdNGEOddhkusing2017ahWBZ2w8Hm+OxACm5DP3gT4WtvH1bWD9rPpw=" TargetMode="External"/><Relationship Id="rId213" Type="http://schemas.openxmlformats.org/officeDocument/2006/relationships/hyperlink" Target="https://media.mydiamonds.info/hna/YSCIM018?u=EUNIz5WT2fZuddhkusing20173KEWOyDkGdL+Aiddhkusing2017LlKjLS2pHI80UgLh2lEXn9OFnY8ZCdyLESVvJdNGEOddhkusing2017ahWBZ2w8Hm+OxACm5DP3gT4WtvH1bWD9rPpw=" TargetMode="External"/><Relationship Id="rId214" Type="http://schemas.openxmlformats.org/officeDocument/2006/relationships/hyperlink" Target="https://media.mydiamonds.info/mplayer/YSCIM018?u=EUNIz5WT2fZuddhkusing20173KEWOyDkGdL+Aiddhkusing2017LlKjLS2pHI80UgLh2lEXn9OFnY8ZCdyLESVvJdNGEOddhkusing2017ahWBZ2w8Hm+OxACm5DP3gT4WtvH1bWD9rPpw=" TargetMode="External"/><Relationship Id="rId215" Type="http://schemas.openxmlformats.org/officeDocument/2006/relationships/hyperlink" Target="https://media.mydiamonds.info/diamond-detail.aspx?r=YSCIM018&amp;u=EUNIz5WT2fZuddhkusing20173KEWOyDkGdL+Aiddhkusing2017LlKjLS2pHI80UgLh2lEXn9OFnY8ZCdyLESVvJdNGEOddhkusing2017ahWBZ2w8Hm+OxACm5DP3gT4WtvH1bWD9rPpw=&amp;source=From_Excelweb" TargetMode="External"/><Relationship Id="rId216" Type="http://schemas.openxmlformats.org/officeDocument/2006/relationships/hyperlink" Target="https://media.mydiamonds.info/certificate/YSNJS006?u=EUNIz5WT2fZuddhkusing20173KEWOyDkGdL+Aiddhkusing2017LlKjLS2pHI80UgLh2lEXn9OFnY8ZCdyLESVvJdNGEOddhkusing2017ahWBZ2w8Hm+OxACm5DP3gT4WtvH1bWD9rPpw=" TargetMode="External"/><Relationship Id="rId217" Type="http://schemas.openxmlformats.org/officeDocument/2006/relationships/hyperlink" Target="https://media.mydiamonds.info/hna/YSNJS006?u=EUNIz5WT2fZuddhkusing20173KEWOyDkGdL+Aiddhkusing2017LlKjLS2pHI80UgLh2lEXn9OFnY8ZCdyLESVvJdNGEOddhkusing2017ahWBZ2w8Hm+OxACm5DP3gT4WtvH1bWD9rPpw=" TargetMode="External"/><Relationship Id="rId218" Type="http://schemas.openxmlformats.org/officeDocument/2006/relationships/hyperlink" Target="https://media.mydiamonds.info/mplayer/YSNJS006?u=EUNIz5WT2fZuddhkusing20173KEWOyDkGdL+Aiddhkusing2017LlKjLS2pHI80UgLh2lEXn9OFnY8ZCdyLESVvJdNGEOddhkusing2017ahWBZ2w8Hm+OxACm5DP3gT4WtvH1bWD9rPpw=" TargetMode="External"/><Relationship Id="rId219" Type="http://schemas.openxmlformats.org/officeDocument/2006/relationships/hyperlink" Target="https://media.mydiamonds.info/diamond-detail.aspx?r=YSNJS006&amp;u=EUNIz5WT2fZuddhkusing20173KEWOyDkGdL+Aiddhkusing2017LlKjLS2pHI80UgLh2lEXn9OFnY8ZCdyLESVvJdNGEOddhkusing2017ahWBZ2w8Hm+OxACm5DP3gT4WtvH1bWD9rPpw=&amp;source=From_Excelweb" TargetMode="External"/><Relationship Id="rId220" Type="http://schemas.openxmlformats.org/officeDocument/2006/relationships/hyperlink" Target="https://media.mydiamonds.info/certificate/YSNRB073?u=EUNIz5WT2fZuddhkusing20173KEWOyDkGdL+Aiddhkusing2017LlKjLS2pHI80UgLh2lEXn9OFnY8ZCdyLESVvJdNGEOddhkusing2017ahWBZ2w8Hm+OxACm5DP3gT4WtvH1bWD9rPpw=" TargetMode="External"/><Relationship Id="rId221" Type="http://schemas.openxmlformats.org/officeDocument/2006/relationships/hyperlink" Target="https://media.mydiamonds.info/hna/YSNRB073?u=EUNIz5WT2fZuddhkusing20173KEWOyDkGdL+Aiddhkusing2017LlKjLS2pHI80UgLh2lEXn9OFnY8ZCdyLESVvJdNGEOddhkusing2017ahWBZ2w8Hm+OxACm5DP3gT4WtvH1bWD9rPpw=" TargetMode="External"/><Relationship Id="rId222" Type="http://schemas.openxmlformats.org/officeDocument/2006/relationships/hyperlink" Target="https://media.mydiamonds.info/mplayer/YSNRB073?u=EUNIz5WT2fZuddhkusing20173KEWOyDkGdL+Aiddhkusing2017LlKjLS2pHI80UgLh2lEXn9OFnY8ZCdyLESVvJdNGEOddhkusing2017ahWBZ2w8Hm+OxACm5DP3gT4WtvH1bWD9rPpw=" TargetMode="External"/><Relationship Id="rId223" Type="http://schemas.openxmlformats.org/officeDocument/2006/relationships/hyperlink" Target="https://media.mydiamonds.info/diamond-detail.aspx?r=YSNRB073&amp;u=EUNIz5WT2fZuddhkusing20173KEWOyDkGdL+Aiddhkusing2017LlKjLS2pHI80UgLh2lEXn9OFnY8ZCdyLESVvJdNGEOddhkusing2017ahWBZ2w8Hm+OxACm5DP3gT4WtvH1bWD9rPpw=&amp;source=From_Excelweb" TargetMode="External"/><Relationship Id="rId224" Type="http://schemas.openxmlformats.org/officeDocument/2006/relationships/hyperlink" Target="https://media.mydiamonds.info/certificate/YSBWC068?u=EUNIz5WT2fZuddhkusing20173KEWOyDkGdL+Aiddhkusing2017LlKjLS2pHI80UgLh2lEXn9OFnY8ZCdyLESVvJdNGEOddhkusing2017ahWBZ2w8Hm+OxACm5DP3gT4WtvH1bWD9rPpw=" TargetMode="External"/><Relationship Id="rId225" Type="http://schemas.openxmlformats.org/officeDocument/2006/relationships/hyperlink" Target="https://media.mydiamonds.info/hna/YSBWC068?u=EUNIz5WT2fZuddhkusing20173KEWOyDkGdL+Aiddhkusing2017LlKjLS2pHI80UgLh2lEXn9OFnY8ZCdyLESVvJdNGEOddhkusing2017ahWBZ2w8Hm+OxACm5DP3gT4WtvH1bWD9rPpw=" TargetMode="External"/><Relationship Id="rId226" Type="http://schemas.openxmlformats.org/officeDocument/2006/relationships/hyperlink" Target="https://media.mydiamonds.info/mplayer/YSBWC068?u=EUNIz5WT2fZuddhkusing20173KEWOyDkGdL+Aiddhkusing2017LlKjLS2pHI80UgLh2lEXn9OFnY8ZCdyLESVvJdNGEOddhkusing2017ahWBZ2w8Hm+OxACm5DP3gT4WtvH1bWD9rPpw=" TargetMode="External"/><Relationship Id="rId227" Type="http://schemas.openxmlformats.org/officeDocument/2006/relationships/hyperlink" Target="https://media.mydiamonds.info/diamond-detail.aspx?r=YSBWC068&amp;u=EUNIz5WT2fZuddhkusing20173KEWOyDkGdL+Aiddhkusing2017LlKjLS2pHI80UgLh2lEXn9OFnY8ZCdyLESVvJdNGEOddhkusing2017ahWBZ2w8Hm+OxACm5DP3gT4WtvH1bWD9rPpw=&amp;source=From_Excelweb" TargetMode="External"/><Relationship Id="rId228" Type="http://schemas.openxmlformats.org/officeDocument/2006/relationships/hyperlink" Target="https://media.mydiamonds.info/certificate/XSBNH011?u=EUNIz5WT2fZuddhkusing20173KEWOyDkGdL+Aiddhkusing2017LlKjLS2pHI80UgLh2lEXn9OFnY8ZCdyLESVvJdNGEOddhkusing2017ahWBZ2w8Hm+OxACm5DP3gT4WtvH1bWD9rPpw=" TargetMode="External"/><Relationship Id="rId229" Type="http://schemas.openxmlformats.org/officeDocument/2006/relationships/hyperlink" Target="https://media.mydiamonds.info/hna/XSBNH011?u=EUNIz5WT2fZuddhkusing20173KEWOyDkGdL+Aiddhkusing2017LlKjLS2pHI80UgLh2lEXn9OFnY8ZCdyLESVvJdNGEOddhkusing2017ahWBZ2w8Hm+OxACm5DP3gT4WtvH1bWD9rPpw=" TargetMode="External"/><Relationship Id="rId230" Type="http://schemas.openxmlformats.org/officeDocument/2006/relationships/hyperlink" Target="https://media.mydiamonds.info/mplayer/XSBNH011?u=EUNIz5WT2fZuddhkusing20173KEWOyDkGdL+Aiddhkusing2017LlKjLS2pHI80UgLh2lEXn9OFnY8ZCdyLESVvJdNGEOddhkusing2017ahWBZ2w8Hm+OxACm5DP3gT4WtvH1bWD9rPpw=" TargetMode="External"/><Relationship Id="rId231" Type="http://schemas.openxmlformats.org/officeDocument/2006/relationships/hyperlink" Target="https://media.mydiamonds.info/diamond-detail.aspx?r=XSBNH011&amp;u=EUNIz5WT2fZuddhkusing20173KEWOyDkGdL+Aiddhkusing2017LlKjLS2pHI80UgLh2lEXn9OFnY8ZCdyLESVvJdNGEOddhkusing2017ahWBZ2w8Hm+OxACm5DP3gT4WtvH1bWD9rPpw=&amp;source=From_Excelweb" TargetMode="External"/><Relationship Id="rId232" Type="http://schemas.openxmlformats.org/officeDocument/2006/relationships/hyperlink" Target="https://media.mydiamonds.info/certificate/YPUS27014?u=EUNIz5WT2fZuddhkusing20173KEWOyDkGdL+Aiddhkusing2017LlKjLS2pHI80UgLh2lEXn9OFnY8ZCdyLESVvJdNGEOddhkusing2017ahWBZ2w8Hm+OxACm5DP3gT4WtvH1bWD9rPpw=" TargetMode="External"/><Relationship Id="rId233" Type="http://schemas.openxmlformats.org/officeDocument/2006/relationships/hyperlink" Target="https://media.mydiamonds.info/diamond-detail.aspx?r=YPUS27014&amp;u=EUNIz5WT2fZuddhkusing20173KEWOyDkGdL+Aiddhkusing2017LlKjLS2pHI80UgLh2lEXn9OFnY8ZCdyLESVvJdNGEOddhkusing2017ahWBZ2w8Hm+OxACm5DP3gT4WtvH1bWD9rPpw=&amp;source=From_Excelweb" TargetMode="External"/><Relationship Id="rId234" Type="http://schemas.openxmlformats.org/officeDocument/2006/relationships/hyperlink" Target="https://media.mydiamonds.info/certificate/YSMFJ075?u=EUNIz5WT2fZuddhkusing20173KEWOyDkGdL+Aiddhkusing2017LlKjLS2pHI80UgLh2lEXn9OFnY8ZCdyLESVvJdNGEOddhkusing2017ahWBZ2w8Hm+OxACm5DP3gT4WtvH1bWD9rPpw=" TargetMode="External"/><Relationship Id="rId235" Type="http://schemas.openxmlformats.org/officeDocument/2006/relationships/hyperlink" Target="https://media.mydiamonds.info/mplayer/YSMFJ075?u=EUNIz5WT2fZuddhkusing20173KEWOyDkGdL+Aiddhkusing2017LlKjLS2pHI80UgLh2lEXn9OFnY8ZCdyLESVvJdNGEOddhkusing2017ahWBZ2w8Hm+OxACm5DP3gT4WtvH1bWD9rPpw=" TargetMode="External"/><Relationship Id="rId236" Type="http://schemas.openxmlformats.org/officeDocument/2006/relationships/hyperlink" Target="https://media.mydiamonds.info/diamond-detail.aspx?r=YSMFJ075&amp;u=EUNIz5WT2fZuddhkusing20173KEWOyDkGdL+Aiddhkusing2017LlKjLS2pHI80UgLh2lEXn9OFnY8ZCdyLESVvJdNGEOddhkusing2017ahWBZ2w8Hm+OxACm5DP3gT4WtvH1bWD9rPpw=&amp;source=From_Excelweb" TargetMode="External"/><Relationship Id="rId237" Type="http://schemas.openxmlformats.org/officeDocument/2006/relationships/hyperlink" Target="https://media.mydiamonds.info/certificate/YSNJM007?u=EUNIz5WT2fZuddhkusing20173KEWOyDkGdL+Aiddhkusing2017LlKjLS2pHI80UgLh2lEXn9OFnY8ZCdyLESVvJdNGEOddhkusing2017ahWBZ2w8Hm+OxACm5DP3gT4WtvH1bWD9rPpw=" TargetMode="External"/><Relationship Id="rId238" Type="http://schemas.openxmlformats.org/officeDocument/2006/relationships/hyperlink" Target="https://media.mydiamonds.info/hna/YSNJM007?u=EUNIz5WT2fZuddhkusing20173KEWOyDkGdL+Aiddhkusing2017LlKjLS2pHI80UgLh2lEXn9OFnY8ZCdyLESVvJdNGEOddhkusing2017ahWBZ2w8Hm+OxACm5DP3gT4WtvH1bWD9rPpw=" TargetMode="External"/><Relationship Id="rId239" Type="http://schemas.openxmlformats.org/officeDocument/2006/relationships/hyperlink" Target="https://media.mydiamonds.info/mplayer/YSNJM007?u=EUNIz5WT2fZuddhkusing20173KEWOyDkGdL+Aiddhkusing2017LlKjLS2pHI80UgLh2lEXn9OFnY8ZCdyLESVvJdNGEOddhkusing2017ahWBZ2w8Hm+OxACm5DP3gT4WtvH1bWD9rPpw=" TargetMode="External"/><Relationship Id="rId240" Type="http://schemas.openxmlformats.org/officeDocument/2006/relationships/hyperlink" Target="https://media.mydiamonds.info/diamond-detail.aspx?r=YSNJM007&amp;u=EUNIz5WT2fZuddhkusing20173KEWOyDkGdL+Aiddhkusing2017LlKjLS2pHI80UgLh2lEXn9OFnY8ZCdyLESVvJdNGEOddhkusing2017ahWBZ2w8Hm+OxACm5DP3gT4WtvH1bWD9rPpw=&amp;source=From_Excelweb" TargetMode="External"/><Relationship Id="rId241" Type="http://schemas.openxmlformats.org/officeDocument/2006/relationships/hyperlink" Target="https://media.mydiamonds.info/certificate/XSBPN046?u=EUNIz5WT2fZuddhkusing20173KEWOyDkGdL+Aiddhkusing2017LlKjLS2pHI80UgLh2lEXn9OFnY8ZCdyLESVvJdNGEOddhkusing2017ahWBZ2w8Hm+OxACm5DP3gT4WtvH1bWD9rPpw=" TargetMode="External"/><Relationship Id="rId242" Type="http://schemas.openxmlformats.org/officeDocument/2006/relationships/hyperlink" Target="https://media.mydiamonds.info/hna/XSBPN046?u=EUNIz5WT2fZuddhkusing20173KEWOyDkGdL+Aiddhkusing2017LlKjLS2pHI80UgLh2lEXn9OFnY8ZCdyLESVvJdNGEOddhkusing2017ahWBZ2w8Hm+OxACm5DP3gT4WtvH1bWD9rPpw=" TargetMode="External"/><Relationship Id="rId243" Type="http://schemas.openxmlformats.org/officeDocument/2006/relationships/hyperlink" Target="https://media.mydiamonds.info/mplayer/XSBPN046?u=EUNIz5WT2fZuddhkusing20173KEWOyDkGdL+Aiddhkusing2017LlKjLS2pHI80UgLh2lEXn9OFnY8ZCdyLESVvJdNGEOddhkusing2017ahWBZ2w8Hm+OxACm5DP3gT4WtvH1bWD9rPpw=" TargetMode="External"/><Relationship Id="rId244" Type="http://schemas.openxmlformats.org/officeDocument/2006/relationships/hyperlink" Target="https://media.mydiamonds.info/diamond-detail.aspx?r=XSBPN046&amp;u=EUNIz5WT2fZuddhkusing20173KEWOyDkGdL+Aiddhkusing2017LlKjLS2pHI80UgLh2lEXn9OFnY8ZCdyLESVvJdNGEOddhkusing2017ahWBZ2w8Hm+OxACm5DP3gT4WtvH1bWD9rPpw=&amp;source=From_Excelweb" TargetMode="External"/><Relationship Id="rId245" Type="http://schemas.openxmlformats.org/officeDocument/2006/relationships/hyperlink" Target="https://media.mydiamonds.info/certificate/YSCCT034?u=EUNIz5WT2fZuddhkusing20173KEWOyDkGdL+Aiddhkusing2017LlKjLS2pHI80UgLh2lEXn9OFnY8ZCdyLESVvJdNGEOddhkusing2017ahWBZ2w8Hm+OxACm5DP3gT4WtvH1bWD9rPpw=" TargetMode="External"/><Relationship Id="rId246" Type="http://schemas.openxmlformats.org/officeDocument/2006/relationships/hyperlink" Target="https://media.mydiamonds.info/mplayer/YSCCT034?u=EUNIz5WT2fZuddhkusing20173KEWOyDkGdL+Aiddhkusing2017LlKjLS2pHI80UgLh2lEXn9OFnY8ZCdyLESVvJdNGEOddhkusing2017ahWBZ2w8Hm+OxACm5DP3gT4WtvH1bWD9rPpw=" TargetMode="External"/><Relationship Id="rId247" Type="http://schemas.openxmlformats.org/officeDocument/2006/relationships/hyperlink" Target="https://media.mydiamonds.info/diamond-detail.aspx?r=YSCCT034&amp;u=EUNIz5WT2fZuddhkusing20173KEWOyDkGdL+Aiddhkusing2017LlKjLS2pHI80UgLh2lEXn9OFnY8ZCdyLESVvJdNGEOddhkusing2017ahWBZ2w8Hm+OxACm5DP3gT4WtvH1bWD9rPpw=&amp;source=From_Excelweb" TargetMode="External"/><Relationship Id="rId248" Type="http://schemas.openxmlformats.org/officeDocument/2006/relationships/hyperlink" Target="https://media.mydiamonds.info/certificate/YSMVY242?u=EUNIz5WT2fZuddhkusing20173KEWOyDkGdL+Aiddhkusing2017LlKjLS2pHI80UgLh2lEXn9OFnY8ZCdyLESVvJdNGEOddhkusing2017ahWBZ2w8Hm+OxACm5DP3gT4WtvH1bWD9rPpw=" TargetMode="External"/><Relationship Id="rId249" Type="http://schemas.openxmlformats.org/officeDocument/2006/relationships/hyperlink" Target="https://media.mydiamonds.info/mplayer/YSMVY242?u=EUNIz5WT2fZuddhkusing20173KEWOyDkGdL+Aiddhkusing2017LlKjLS2pHI80UgLh2lEXn9OFnY8ZCdyLESVvJdNGEOddhkusing2017ahWBZ2w8Hm+OxACm5DP3gT4WtvH1bWD9rPpw=" TargetMode="External"/><Relationship Id="rId250" Type="http://schemas.openxmlformats.org/officeDocument/2006/relationships/hyperlink" Target="https://media.mydiamonds.info/diamond-detail.aspx?r=YSMVY242&amp;u=EUNIz5WT2fZuddhkusing20173KEWOyDkGdL+Aiddhkusing2017LlKjLS2pHI80UgLh2lEXn9OFnY8ZCdyLESVvJdNGEOddhkusing2017ahWBZ2w8Hm+OxACm5DP3gT4WtvH1bWD9rPpw=&amp;source=From_Excelweb" TargetMode="External"/><Relationship Id="rId251" Type="http://schemas.openxmlformats.org/officeDocument/2006/relationships/hyperlink" Target="https://media.mydiamonds.info/certificate/XSBKH021?u=EUNIz5WT2fZuddhkusing20173KEWOyDkGdL+Aiddhkusing2017LlKjLS2pHI80UgLh2lEXn9OFnY8ZCdyLESVvJdNGEOddhkusing2017ahWBZ2w8Hm+OxACm5DP3gT4WtvH1bWD9rPpw=" TargetMode="External"/><Relationship Id="rId252" Type="http://schemas.openxmlformats.org/officeDocument/2006/relationships/hyperlink" Target="https://media.mydiamonds.info/hna/XSBKH021?u=EUNIz5WT2fZuddhkusing20173KEWOyDkGdL+Aiddhkusing2017LlKjLS2pHI80UgLh2lEXn9OFnY8ZCdyLESVvJdNGEOddhkusing2017ahWBZ2w8Hm+OxACm5DP3gT4WtvH1bWD9rPpw=" TargetMode="External"/><Relationship Id="rId253" Type="http://schemas.openxmlformats.org/officeDocument/2006/relationships/hyperlink" Target="https://media.mydiamonds.info/mplayer/XSBKH021?u=EUNIz5WT2fZuddhkusing20173KEWOyDkGdL+Aiddhkusing2017LlKjLS2pHI80UgLh2lEXn9OFnY8ZCdyLESVvJdNGEOddhkusing2017ahWBZ2w8Hm+OxACm5DP3gT4WtvH1bWD9rPpw=" TargetMode="External"/><Relationship Id="rId254" Type="http://schemas.openxmlformats.org/officeDocument/2006/relationships/hyperlink" Target="https://media.mydiamonds.info/diamond-detail.aspx?r=XSBKH021&amp;u=EUNIz5WT2fZuddhkusing20173KEWOyDkGdL+Aiddhkusing2017LlKjLS2pHI80UgLh2lEXn9OFnY8ZCdyLESVvJdNGEOddhkusing2017ahWBZ2w8Hm+OxACm5DP3gT4WtvH1bWD9rPpw=&amp;source=From_Excelweb" TargetMode="External"/><Relationship Id="rId255" Type="http://schemas.openxmlformats.org/officeDocument/2006/relationships/hyperlink" Target="https://media.mydiamonds.info/certificate/YSCHN006?u=EUNIz5WT2fZuddhkusing20173KEWOyDkGdL+Aiddhkusing2017LlKjLS2pHI80UgLh2lEXn9OFnY8ZCdyLESVvJdNGEOddhkusing2017ahWBZ2w8Hm+OxACm5DP3gT4WtvH1bWD9rPpw=" TargetMode="External"/><Relationship Id="rId256" Type="http://schemas.openxmlformats.org/officeDocument/2006/relationships/hyperlink" Target="https://media.mydiamonds.info/mplayer/YSCHN006?u=EUNIz5WT2fZuddhkusing20173KEWOyDkGdL+Aiddhkusing2017LlKjLS2pHI80UgLh2lEXn9OFnY8ZCdyLESVvJdNGEOddhkusing2017ahWBZ2w8Hm+OxACm5DP3gT4WtvH1bWD9rPpw=" TargetMode="External"/><Relationship Id="rId257" Type="http://schemas.openxmlformats.org/officeDocument/2006/relationships/hyperlink" Target="https://media.mydiamonds.info/diamond-detail.aspx?r=YSCHN006&amp;u=EUNIz5WT2fZuddhkusing20173KEWOyDkGdL+Aiddhkusing2017LlKjLS2pHI80UgLh2lEXn9OFnY8ZCdyLESVvJdNGEOddhkusing2017ahWBZ2w8Hm+OxACm5DP3gT4WtvH1bWD9rPpw=&amp;source=From_Excelweb" TargetMode="External"/><Relationship Id="rId258" Type="http://schemas.openxmlformats.org/officeDocument/2006/relationships/hyperlink" Target="https://media.mydiamonds.info/certificate/YSCFL102?u=EUNIz5WT2fZuddhkusing20173KEWOyDkGdL+Aiddhkusing2017LlKjLS2pHI80UgLh2lEXn9OFnY8ZCdyLESVvJdNGEOddhkusing2017ahWBZ2w8Hm+OxACm5DP3gT4WtvH1bWD9rPpw=" TargetMode="External"/><Relationship Id="rId259" Type="http://schemas.openxmlformats.org/officeDocument/2006/relationships/hyperlink" Target="https://media.mydiamonds.info/mplayer/YSCFL102?u=EUNIz5WT2fZuddhkusing20173KEWOyDkGdL+Aiddhkusing2017LlKjLS2pHI80UgLh2lEXn9OFnY8ZCdyLESVvJdNGEOddhkusing2017ahWBZ2w8Hm+OxACm5DP3gT4WtvH1bWD9rPpw=" TargetMode="External"/><Relationship Id="rId260" Type="http://schemas.openxmlformats.org/officeDocument/2006/relationships/hyperlink" Target="https://media.mydiamonds.info/diamond-detail.aspx?r=YSCFL102&amp;u=EUNIz5WT2fZuddhkusing20173KEWOyDkGdL+Aiddhkusing2017LlKjLS2pHI80UgLh2lEXn9OFnY8ZCdyLESVvJdNGEOddhkusing2017ahWBZ2w8Hm+OxACm5DP3gT4WtvH1bWD9rPpw=&amp;source=From_Excelweb" TargetMode="External"/><Relationship Id="rId261" Type="http://schemas.openxmlformats.org/officeDocument/2006/relationships/hyperlink" Target="https://media.mydiamonds.info/certificate/XSMVM174?u=EUNIz5WT2fZuddhkusing20173KEWOyDkGdL+Aiddhkusing2017LlKjLS2pHI80UgLh2lEXn9OFnY8ZCdyLESVvJdNGEOddhkusing2017ahWBZ2w8Hm+OxACm5DP3gT4WtvH1bWD9rPpw=" TargetMode="External"/><Relationship Id="rId262" Type="http://schemas.openxmlformats.org/officeDocument/2006/relationships/hyperlink" Target="https://media.mydiamonds.info/mplayer/XSMVM174?u=EUNIz5WT2fZuddhkusing20173KEWOyDkGdL+Aiddhkusing2017LlKjLS2pHI80UgLh2lEXn9OFnY8ZCdyLESVvJdNGEOddhkusing2017ahWBZ2w8Hm+OxACm5DP3gT4WtvH1bWD9rPpw=" TargetMode="External"/><Relationship Id="rId263" Type="http://schemas.openxmlformats.org/officeDocument/2006/relationships/hyperlink" Target="https://media.mydiamonds.info/diamond-detail.aspx?r=XSMVM174&amp;u=EUNIz5WT2fZuddhkusing20173KEWOyDkGdL+Aiddhkusing2017LlKjLS2pHI80UgLh2lEXn9OFnY8ZCdyLESVvJdNGEOddhkusing2017ahWBZ2w8Hm+OxACm5DP3gT4WtvH1bWD9rPpw=&amp;source=From_Excelweb" TargetMode="External"/><Relationship Id="rId264" Type="http://schemas.openxmlformats.org/officeDocument/2006/relationships/hyperlink" Target="https://media.mydiamonds.info/certificate/YSNKK062?u=EUNIz5WT2fZuddhkusing20173KEWOyDkGdL+Aiddhkusing2017LlKjLS2pHI80UgLh2lEXn9OFnY8ZCdyLESVvJdNGEOddhkusing2017ahWBZ2w8Hm+OxACm5DP3gT4WtvH1bWD9rPpw=" TargetMode="External"/><Relationship Id="rId265" Type="http://schemas.openxmlformats.org/officeDocument/2006/relationships/hyperlink" Target="https://media.mydiamonds.info/hna/YSNKK062?u=EUNIz5WT2fZuddhkusing20173KEWOyDkGdL+Aiddhkusing2017LlKjLS2pHI80UgLh2lEXn9OFnY8ZCdyLESVvJdNGEOddhkusing2017ahWBZ2w8Hm+OxACm5DP3gT4WtvH1bWD9rPpw=" TargetMode="External"/><Relationship Id="rId266" Type="http://schemas.openxmlformats.org/officeDocument/2006/relationships/hyperlink" Target="https://media.mydiamonds.info/mplayer/YSNKK062?u=EUNIz5WT2fZuddhkusing20173KEWOyDkGdL+Aiddhkusing2017LlKjLS2pHI80UgLh2lEXn9OFnY8ZCdyLESVvJdNGEOddhkusing2017ahWBZ2w8Hm+OxACm5DP3gT4WtvH1bWD9rPpw=" TargetMode="External"/><Relationship Id="rId267" Type="http://schemas.openxmlformats.org/officeDocument/2006/relationships/hyperlink" Target="https://media.mydiamonds.info/diamond-detail.aspx?r=YSNKK062&amp;u=EUNIz5WT2fZuddhkusing20173KEWOyDkGdL+Aiddhkusing2017LlKjLS2pHI80UgLh2lEXn9OFnY8ZCdyLESVvJdNGEOddhkusing2017ahWBZ2w8Hm+OxACm5DP3gT4WtvH1bWD9rPpw=&amp;source=From_Excelweb" TargetMode="External"/><Relationship Id="rId268" Type="http://schemas.openxmlformats.org/officeDocument/2006/relationships/hyperlink" Target="https://media.mydiamonds.info/certificate/ZPBE00005?u=EUNIz5WT2fZuddhkusing20173KEWOyDkGdL+Aiddhkusing2017LlKjLS2pHI80UgLh2lEXn9OFnY8ZCdyLESVvJdNGEOddhkusing2017ahWBZ2w8Hm+OxACm5DP3gT4WtvH1bWD9rPpw=" TargetMode="External"/><Relationship Id="rId269" Type="http://schemas.openxmlformats.org/officeDocument/2006/relationships/hyperlink" Target="https://media.mydiamonds.info/diamond-detail.aspx?r=ZPBE00005&amp;u=EUNIz5WT2fZuddhkusing20173KEWOyDkGdL+Aiddhkusing2017LlKjLS2pHI80UgLh2lEXn9OFnY8ZCdyLESVvJdNGEOddhkusing2017ahWBZ2w8Hm+OxACm5DP3gT4WtvH1bWD9rPpw=&amp;source=From_Excelweb" TargetMode="External"/><Relationship Id="rId270" Type="http://schemas.openxmlformats.org/officeDocument/2006/relationships/hyperlink" Target="https://media.mydiamonds.info/certificate/YPUS27005?u=EUNIz5WT2fZuddhkusing20173KEWOyDkGdL+Aiddhkusing2017LlKjLS2pHI80UgLh2lEXn9OFnY8ZCdyLESVvJdNGEOddhkusing2017ahWBZ2w8Hm+OxACm5DP3gT4WtvH1bWD9rPpw=" TargetMode="External"/><Relationship Id="rId271" Type="http://schemas.openxmlformats.org/officeDocument/2006/relationships/hyperlink" Target="https://media.mydiamonds.info/mplayer/YPUS27005?u=EUNIz5WT2fZuddhkusing20173KEWOyDkGdL+Aiddhkusing2017LlKjLS2pHI80UgLh2lEXn9OFnY8ZCdyLESVvJdNGEOddhkusing2017ahWBZ2w8Hm+OxACm5DP3gT4WtvH1bWD9rPpw=" TargetMode="External"/><Relationship Id="rId272" Type="http://schemas.openxmlformats.org/officeDocument/2006/relationships/hyperlink" Target="https://media.mydiamonds.info/diamond-detail.aspx?r=YPUS27005&amp;u=EUNIz5WT2fZuddhkusing20173KEWOyDkGdL+Aiddhkusing2017LlKjLS2pHI80UgLh2lEXn9OFnY8ZCdyLESVvJdNGEOddhkusing2017ahWBZ2w8Hm+OxACm5DP3gT4WtvH1bWD9rPpw=&amp;source=From_Excelweb" TargetMode="External"/><Relationship Id="rId273" Type="http://schemas.openxmlformats.org/officeDocument/2006/relationships/hyperlink" Target="https://media.mydiamonds.info/certificate/YSCEO054?u=EUNIz5WT2fZuddhkusing20173KEWOyDkGdL+Aiddhkusing2017LlKjLS2pHI80UgLh2lEXn9OFnY8ZCdyLESVvJdNGEOddhkusing2017ahWBZ2w8Hm+OxACm5DP3gT4WtvH1bWD9rPpw=" TargetMode="External"/><Relationship Id="rId274" Type="http://schemas.openxmlformats.org/officeDocument/2006/relationships/hyperlink" Target="https://media.mydiamonds.info/hna/YSCEO054?u=EUNIz5WT2fZuddhkusing20173KEWOyDkGdL+Aiddhkusing2017LlKjLS2pHI80UgLh2lEXn9OFnY8ZCdyLESVvJdNGEOddhkusing2017ahWBZ2w8Hm+OxACm5DP3gT4WtvH1bWD9rPpw=" TargetMode="External"/><Relationship Id="rId275" Type="http://schemas.openxmlformats.org/officeDocument/2006/relationships/hyperlink" Target="https://media.mydiamonds.info/mplayer/YSCEO054?u=EUNIz5WT2fZuddhkusing20173KEWOyDkGdL+Aiddhkusing2017LlKjLS2pHI80UgLh2lEXn9OFnY8ZCdyLESVvJdNGEOddhkusing2017ahWBZ2w8Hm+OxACm5DP3gT4WtvH1bWD9rPpw=" TargetMode="External"/><Relationship Id="rId276" Type="http://schemas.openxmlformats.org/officeDocument/2006/relationships/hyperlink" Target="https://media.mydiamonds.info/diamond-detail.aspx?r=YSCEO054&amp;u=EUNIz5WT2fZuddhkusing20173KEWOyDkGdL+Aiddhkusing2017LlKjLS2pHI80UgLh2lEXn9OFnY8ZCdyLESVvJdNGEOddhkusing2017ahWBZ2w8Hm+OxACm5DP3gT4WtvH1bWD9rPpw=&amp;source=From_Excelweb" TargetMode="External"/><Relationship Id="rId277" Type="http://schemas.openxmlformats.org/officeDocument/2006/relationships/hyperlink" Target="https://media.mydiamonds.info/certificate/YSCBX079?u=EUNIz5WT2fZuddhkusing20173KEWOyDkGdL+Aiddhkusing2017LlKjLS2pHI80UgLh2lEXn9OFnY8ZCdyLESVvJdNGEOddhkusing2017ahWBZ2w8Hm+OxACm5DP3gT4WtvH1bWD9rPpw=" TargetMode="External"/><Relationship Id="rId278" Type="http://schemas.openxmlformats.org/officeDocument/2006/relationships/hyperlink" Target="https://media.mydiamonds.info/hna/YSCBX079?u=EUNIz5WT2fZuddhkusing20173KEWOyDkGdL+Aiddhkusing2017LlKjLS2pHI80UgLh2lEXn9OFnY8ZCdyLESVvJdNGEOddhkusing2017ahWBZ2w8Hm+OxACm5DP3gT4WtvH1bWD9rPpw=" TargetMode="External"/><Relationship Id="rId279" Type="http://schemas.openxmlformats.org/officeDocument/2006/relationships/hyperlink" Target="https://media.mydiamonds.info/mplayer/YSCBX079?u=EUNIz5WT2fZuddhkusing20173KEWOyDkGdL+Aiddhkusing2017LlKjLS2pHI80UgLh2lEXn9OFnY8ZCdyLESVvJdNGEOddhkusing2017ahWBZ2w8Hm+OxACm5DP3gT4WtvH1bWD9rPpw=" TargetMode="External"/><Relationship Id="rId280" Type="http://schemas.openxmlformats.org/officeDocument/2006/relationships/hyperlink" Target="https://media.mydiamonds.info/diamond-detail.aspx?r=YSCBX079&amp;u=EUNIz5WT2fZuddhkusing20173KEWOyDkGdL+Aiddhkusing2017LlKjLS2pHI80UgLh2lEXn9OFnY8ZCdyLESVvJdNGEOddhkusing2017ahWBZ2w8Hm+OxACm5DP3gT4WtvH1bWD9rPpw=&amp;source=From_Excelweb" TargetMode="External"/><Relationship Id="rId281" Type="http://schemas.openxmlformats.org/officeDocument/2006/relationships/hyperlink" Target="https://media.mydiamonds.info/certificate/YSCHZ040?u=EUNIz5WT2fZuddhkusing20173KEWOyDkGdL+Aiddhkusing2017LlKjLS2pHI80UgLh2lEXn9OFnY8ZCdyLESVvJdNGEOddhkusing2017ahWBZ2w8Hm+OxACm5DP3gT4WtvH1bWD9rPpw=" TargetMode="External"/><Relationship Id="rId282" Type="http://schemas.openxmlformats.org/officeDocument/2006/relationships/hyperlink" Target="https://media.mydiamonds.info/mplayer/YSCHZ040?u=EUNIz5WT2fZuddhkusing20173KEWOyDkGdL+Aiddhkusing2017LlKjLS2pHI80UgLh2lEXn9OFnY8ZCdyLESVvJdNGEOddhkusing2017ahWBZ2w8Hm+OxACm5DP3gT4WtvH1bWD9rPpw=" TargetMode="External"/><Relationship Id="rId283" Type="http://schemas.openxmlformats.org/officeDocument/2006/relationships/hyperlink" Target="https://media.mydiamonds.info/diamond-detail.aspx?r=YSCHZ040&amp;u=EUNIz5WT2fZuddhkusing20173KEWOyDkGdL+Aiddhkusing2017LlKjLS2pHI80UgLh2lEXn9OFnY8ZCdyLESVvJdNGEOddhkusing2017ahWBZ2w8Hm+OxACm5DP3gT4WtvH1bWD9rPpw=&amp;source=From_Excelweb" TargetMode="External"/><Relationship Id="rId284" Type="http://schemas.openxmlformats.org/officeDocument/2006/relationships/hyperlink" Target="https://media.mydiamonds.info/certificate/YSCBQ149?u=EUNIz5WT2fZuddhkusing20173KEWOyDkGdL+Aiddhkusing2017LlKjLS2pHI80UgLh2lEXn9OFnY8ZCdyLESVvJdNGEOddhkusing2017ahWBZ2w8Hm+OxACm5DP3gT4WtvH1bWD9rPpw=" TargetMode="External"/><Relationship Id="rId285" Type="http://schemas.openxmlformats.org/officeDocument/2006/relationships/hyperlink" Target="https://media.mydiamonds.info/mplayer/YSCBQ149?u=EUNIz5WT2fZuddhkusing20173KEWOyDkGdL+Aiddhkusing2017LlKjLS2pHI80UgLh2lEXn9OFnY8ZCdyLESVvJdNGEOddhkusing2017ahWBZ2w8Hm+OxACm5DP3gT4WtvH1bWD9rPpw=" TargetMode="External"/><Relationship Id="rId286" Type="http://schemas.openxmlformats.org/officeDocument/2006/relationships/hyperlink" Target="https://media.mydiamonds.info/diamond-detail.aspx?r=YSCBQ149&amp;u=EUNIz5WT2fZuddhkusing20173KEWOyDkGdL+Aiddhkusing2017LlKjLS2pHI80UgLh2lEXn9OFnY8ZCdyLESVvJdNGEOddhkusing2017ahWBZ2w8Hm+OxACm5DP3gT4WtvH1bWD9rPpw=&amp;source=From_Excelweb" TargetMode="External"/><Relationship Id="rId287" Type="http://schemas.openxmlformats.org/officeDocument/2006/relationships/hyperlink" Target="https://media.mydiamonds.info/certificate/YSBHT089?u=EUNIz5WT2fZuddhkusing20173KEWOyDkGdL+Aiddhkusing2017LlKjLS2pHI80UgLh2lEXn9OFnY8ZCdyLESVvJdNGEOddhkusing2017ahWBZ2w8Hm+OxACm5DP3gT4WtvH1bWD9rPpw=" TargetMode="External"/><Relationship Id="rId288" Type="http://schemas.openxmlformats.org/officeDocument/2006/relationships/hyperlink" Target="https://media.mydiamonds.info/mplayer/YSBHT089?u=EUNIz5WT2fZuddhkusing20173KEWOyDkGdL+Aiddhkusing2017LlKjLS2pHI80UgLh2lEXn9OFnY8ZCdyLESVvJdNGEOddhkusing2017ahWBZ2w8Hm+OxACm5DP3gT4WtvH1bWD9rPpw=" TargetMode="External"/><Relationship Id="rId289" Type="http://schemas.openxmlformats.org/officeDocument/2006/relationships/hyperlink" Target="https://media.mydiamonds.info/diamond-detail.aspx?r=YSBHT089&amp;u=EUNIz5WT2fZuddhkusing20173KEWOyDkGdL+Aiddhkusing2017LlKjLS2pHI80UgLh2lEXn9OFnY8ZCdyLESVvJdNGEOddhkusing2017ahWBZ2w8Hm+OxACm5DP3gT4WtvH1bWD9rPpw=&amp;source=From_Excelweb" TargetMode="External"/><Relationship Id="rId290" Type="http://schemas.openxmlformats.org/officeDocument/2006/relationships/hyperlink" Target="https://media.mydiamonds.info/certificate/YSCDA047?u=EUNIz5WT2fZuddhkusing20173KEWOyDkGdL+Aiddhkusing2017LlKjLS2pHI80UgLh2lEXn9OFnY8ZCdyLESVvJdNGEOddhkusing2017ahWBZ2w8Hm+OxACm5DP3gT4WtvH1bWD9rPpw=" TargetMode="External"/><Relationship Id="rId291" Type="http://schemas.openxmlformats.org/officeDocument/2006/relationships/hyperlink" Target="https://media.mydiamonds.info/hna/YSCDA047?u=EUNIz5WT2fZuddhkusing20173KEWOyDkGdL+Aiddhkusing2017LlKjLS2pHI80UgLh2lEXn9OFnY8ZCdyLESVvJdNGEOddhkusing2017ahWBZ2w8Hm+OxACm5DP3gT4WtvH1bWD9rPpw=" TargetMode="External"/><Relationship Id="rId292" Type="http://schemas.openxmlformats.org/officeDocument/2006/relationships/hyperlink" Target="https://media.mydiamonds.info/mplayer/YSCDA047?u=EUNIz5WT2fZuddhkusing20173KEWOyDkGdL+Aiddhkusing2017LlKjLS2pHI80UgLh2lEXn9OFnY8ZCdyLESVvJdNGEOddhkusing2017ahWBZ2w8Hm+OxACm5DP3gT4WtvH1bWD9rPpw=" TargetMode="External"/><Relationship Id="rId293" Type="http://schemas.openxmlformats.org/officeDocument/2006/relationships/hyperlink" Target="https://media.mydiamonds.info/diamond-detail.aspx?r=YSCDA047&amp;u=EUNIz5WT2fZuddhkusing20173KEWOyDkGdL+Aiddhkusing2017LlKjLS2pHI80UgLh2lEXn9OFnY8ZCdyLESVvJdNGEOddhkusing2017ahWBZ2w8Hm+OxACm5DP3gT4WtvH1bWD9rPpw=&amp;source=From_Excelweb" TargetMode="External"/><Relationship Id="rId294" Type="http://schemas.openxmlformats.org/officeDocument/2006/relationships/hyperlink" Target="https://media.mydiamonds.info/certificate/XSBPE018?u=EUNIz5WT2fZuddhkusing20173KEWOyDkGdL+Aiddhkusing2017LlKjLS2pHI80UgLh2lEXn9OFnY8ZCdyLESVvJdNGEOddhkusing2017ahWBZ2w8Hm+OxACm5DP3gT4WtvH1bWD9rPpw=" TargetMode="External"/><Relationship Id="rId295" Type="http://schemas.openxmlformats.org/officeDocument/2006/relationships/hyperlink" Target="https://media.mydiamonds.info/mplayer/XSBPE018?u=EUNIz5WT2fZuddhkusing20173KEWOyDkGdL+Aiddhkusing2017LlKjLS2pHI80UgLh2lEXn9OFnY8ZCdyLESVvJdNGEOddhkusing2017ahWBZ2w8Hm+OxACm5DP3gT4WtvH1bWD9rPpw=" TargetMode="External"/><Relationship Id="rId296" Type="http://schemas.openxmlformats.org/officeDocument/2006/relationships/hyperlink" Target="https://media.mydiamonds.info/diamond-detail.aspx?r=XSBPE018&amp;u=EUNIz5WT2fZuddhkusing20173KEWOyDkGdL+Aiddhkusing2017LlKjLS2pHI80UgLh2lEXn9OFnY8ZCdyLESVvJdNGEOddhkusing2017ahWBZ2w8Hm+OxACm5DP3gT4WtvH1bWD9rPpw=&amp;source=From_Excelweb" TargetMode="External"/><Relationship Id="rId297" Type="http://schemas.openxmlformats.org/officeDocument/2006/relationships/hyperlink" Target="https://media.mydiamonds.info/certificate/XSBXM015?u=EUNIz5WT2fZuddhkusing20173KEWOyDkGdL+Aiddhkusing2017LlKjLS2pHI80UgLh2lEXn9OFnY8ZCdyLESVvJdNGEOddhkusing2017ahWBZ2w8Hm+OxACm5DP3gT4WtvH1bWD9rPpw=" TargetMode="External"/><Relationship Id="rId298" Type="http://schemas.openxmlformats.org/officeDocument/2006/relationships/hyperlink" Target="https://media.mydiamonds.info/mplayer/XSBXM015?u=EUNIz5WT2fZuddhkusing20173KEWOyDkGdL+Aiddhkusing2017LlKjLS2pHI80UgLh2lEXn9OFnY8ZCdyLESVvJdNGEOddhkusing2017ahWBZ2w8Hm+OxACm5DP3gT4WtvH1bWD9rPpw=" TargetMode="External"/><Relationship Id="rId299" Type="http://schemas.openxmlformats.org/officeDocument/2006/relationships/hyperlink" Target="https://media.mydiamonds.info/diamond-detail.aspx?r=XSBXM015&amp;u=EUNIz5WT2fZuddhkusing20173KEWOyDkGdL+Aiddhkusing2017LlKjLS2pHI80UgLh2lEXn9OFnY8ZCdyLESVvJdNGEOddhkusing2017ahWBZ2w8Hm+OxACm5DP3gT4WtvH1bWD9rPpw=&amp;source=From_Excelweb" TargetMode="External"/><Relationship Id="rId300" Type="http://schemas.openxmlformats.org/officeDocument/2006/relationships/hyperlink" Target="https://media.mydiamonds.info/certificate/YSBSN083?u=EUNIz5WT2fZuddhkusing20173KEWOyDkGdL+Aiddhkusing2017LlKjLS2pHI80UgLh2lEXn9OFnY8ZCdyLESVvJdNGEOddhkusing2017ahWBZ2w8Hm+OxACm5DP3gT4WtvH1bWD9rPpw=" TargetMode="External"/><Relationship Id="rId301" Type="http://schemas.openxmlformats.org/officeDocument/2006/relationships/hyperlink" Target="https://media.mydiamonds.info/hna/YSBSN083?u=EUNIz5WT2fZuddhkusing20173KEWOyDkGdL+Aiddhkusing2017LlKjLS2pHI80UgLh2lEXn9OFnY8ZCdyLESVvJdNGEOddhkusing2017ahWBZ2w8Hm+OxACm5DP3gT4WtvH1bWD9rPpw=" TargetMode="External"/><Relationship Id="rId302" Type="http://schemas.openxmlformats.org/officeDocument/2006/relationships/hyperlink" Target="https://media.mydiamonds.info/mplayer/YSBSN083?u=EUNIz5WT2fZuddhkusing20173KEWOyDkGdL+Aiddhkusing2017LlKjLS2pHI80UgLh2lEXn9OFnY8ZCdyLESVvJdNGEOddhkusing2017ahWBZ2w8Hm+OxACm5DP3gT4WtvH1bWD9rPpw=" TargetMode="External"/><Relationship Id="rId303" Type="http://schemas.openxmlformats.org/officeDocument/2006/relationships/hyperlink" Target="https://media.mydiamonds.info/diamond-detail.aspx?r=YSBSN083&amp;u=EUNIz5WT2fZuddhkusing20173KEWOyDkGdL+Aiddhkusing2017LlKjLS2pHI80UgLh2lEXn9OFnY8ZCdyLESVvJdNGEOddhkusing2017ahWBZ2w8Hm+OxACm5DP3gT4WtvH1bWD9rPpw=&amp;source=From_Excelweb" TargetMode="External"/><Relationship Id="rId304" Type="http://schemas.openxmlformats.org/officeDocument/2006/relationships/hyperlink" Target="https://media.mydiamonds.info/certificate/YPUS27016?u=EUNIz5WT2fZuddhkusing20173KEWOyDkGdL+Aiddhkusing2017LlKjLS2pHI80UgLh2lEXn9OFnY8ZCdyLESVvJdNGEOddhkusing2017ahWBZ2w8Hm+OxACm5DP3gT4WtvH1bWD9rPpw=" TargetMode="External"/><Relationship Id="rId305" Type="http://schemas.openxmlformats.org/officeDocument/2006/relationships/hyperlink" Target="https://media.mydiamonds.info/diamond-detail.aspx?r=YPUS27016&amp;u=EUNIz5WT2fZuddhkusing20173KEWOyDkGdL+Aiddhkusing2017LlKjLS2pHI80UgLh2lEXn9OFnY8ZCdyLESVvJdNGEOddhkusing2017ahWBZ2w8Hm+OxACm5DP3gT4WtvH1bWD9rPpw=&amp;source=From_Excelweb" TargetMode="External"/><Relationship Id="rId306" Type="http://schemas.openxmlformats.org/officeDocument/2006/relationships/hyperlink" Target="https://media.mydiamonds.info/certificate/YSNJS046?u=EUNIz5WT2fZuddhkusing20173KEWOyDkGdL+Aiddhkusing2017LlKjLS2pHI80UgLh2lEXn9OFnY8ZCdyLESVvJdNGEOddhkusing2017ahWBZ2w8Hm+OxACm5DP3gT4WtvH1bWD9rPpw=" TargetMode="External"/><Relationship Id="rId307" Type="http://schemas.openxmlformats.org/officeDocument/2006/relationships/hyperlink" Target="https://media.mydiamonds.info/mplayer/YSNJS046?u=EUNIz5WT2fZuddhkusing20173KEWOyDkGdL+Aiddhkusing2017LlKjLS2pHI80UgLh2lEXn9OFnY8ZCdyLESVvJdNGEOddhkusing2017ahWBZ2w8Hm+OxACm5DP3gT4WtvH1bWD9rPpw=" TargetMode="External"/><Relationship Id="rId308" Type="http://schemas.openxmlformats.org/officeDocument/2006/relationships/hyperlink" Target="https://media.mydiamonds.info/diamond-detail.aspx?r=YSNJS046&amp;u=EUNIz5WT2fZuddhkusing20173KEWOyDkGdL+Aiddhkusing2017LlKjLS2pHI80UgLh2lEXn9OFnY8ZCdyLESVvJdNGEOddhkusing2017ahWBZ2w8Hm+OxACm5DP3gT4WtvH1bWD9rPpw=&amp;source=From_Excelweb" TargetMode="External"/><Relationship Id="rId309" Type="http://schemas.openxmlformats.org/officeDocument/2006/relationships/hyperlink" Target="https://media.mydiamonds.info/certificate/YSCDX062?u=EUNIz5WT2fZuddhkusing20173KEWOyDkGdL+Aiddhkusing2017LlKjLS2pHI80UgLh2lEXn9OFnY8ZCdyLESVvJdNGEOddhkusing2017ahWBZ2w8Hm+OxACm5DP3gT4WtvH1bWD9rPpw=" TargetMode="External"/><Relationship Id="rId310" Type="http://schemas.openxmlformats.org/officeDocument/2006/relationships/hyperlink" Target="https://media.mydiamonds.info/mplayer/YSCDX062?u=EUNIz5WT2fZuddhkusing20173KEWOyDkGdL+Aiddhkusing2017LlKjLS2pHI80UgLh2lEXn9OFnY8ZCdyLESVvJdNGEOddhkusing2017ahWBZ2w8Hm+OxACm5DP3gT4WtvH1bWD9rPpw=" TargetMode="External"/><Relationship Id="rId311" Type="http://schemas.openxmlformats.org/officeDocument/2006/relationships/hyperlink" Target="https://media.mydiamonds.info/diamond-detail.aspx?r=YSCDX062&amp;u=EUNIz5WT2fZuddhkusing20173KEWOyDkGdL+Aiddhkusing2017LlKjLS2pHI80UgLh2lEXn9OFnY8ZCdyLESVvJdNGEOddhkusing2017ahWBZ2w8Hm+OxACm5DP3gT4WtvH1bWD9rPpw=&amp;source=From_Excelweb" TargetMode="External"/><Relationship Id="rId312" Type="http://schemas.openxmlformats.org/officeDocument/2006/relationships/hyperlink" Target="https://media.mydiamonds.info/certificate/YSNRR190?u=EUNIz5WT2fZuddhkusing20173KEWOyDkGdL+Aiddhkusing2017LlKjLS2pHI80UgLh2lEXn9OFnY8ZCdyLESVvJdNGEOddhkusing2017ahWBZ2w8Hm+OxACm5DP3gT4WtvH1bWD9rPpw=" TargetMode="External"/><Relationship Id="rId313" Type="http://schemas.openxmlformats.org/officeDocument/2006/relationships/hyperlink" Target="https://media.mydiamonds.info/mplayer/YSNRR190?u=EUNIz5WT2fZuddhkusing20173KEWOyDkGdL+Aiddhkusing2017LlKjLS2pHI80UgLh2lEXn9OFnY8ZCdyLESVvJdNGEOddhkusing2017ahWBZ2w8Hm+OxACm5DP3gT4WtvH1bWD9rPpw=" TargetMode="External"/><Relationship Id="rId314" Type="http://schemas.openxmlformats.org/officeDocument/2006/relationships/hyperlink" Target="https://media.mydiamonds.info/diamond-detail.aspx?r=YSNRR190&amp;u=EUNIz5WT2fZuddhkusing20173KEWOyDkGdL+Aiddhkusing2017LlKjLS2pHI80UgLh2lEXn9OFnY8ZCdyLESVvJdNGEOddhkusing2017ahWBZ2w8Hm+OxACm5DP3gT4WtvH1bWD9rPpw=&amp;source=From_Excelweb" TargetMode="External"/><Relationship Id="rId315" Type="http://schemas.openxmlformats.org/officeDocument/2006/relationships/hyperlink" Target="https://media.mydiamonds.info/certificate/XSBMF044?u=EUNIz5WT2fZuddhkusing20173KEWOyDkGdL+Aiddhkusing2017LlKjLS2pHI80UgLh2lEXn9OFnY8ZCdyLESVvJdNGEOddhkusing2017ahWBZ2w8Hm+OxACm5DP3gT4WtvH1bWD9rPpw=" TargetMode="External"/><Relationship Id="rId316" Type="http://schemas.openxmlformats.org/officeDocument/2006/relationships/hyperlink" Target="https://media.mydiamonds.info/hna/XSBMF044?u=EUNIz5WT2fZuddhkusing20173KEWOyDkGdL+Aiddhkusing2017LlKjLS2pHI80UgLh2lEXn9OFnY8ZCdyLESVvJdNGEOddhkusing2017ahWBZ2w8Hm+OxACm5DP3gT4WtvH1bWD9rPpw=" TargetMode="External"/><Relationship Id="rId317" Type="http://schemas.openxmlformats.org/officeDocument/2006/relationships/hyperlink" Target="https://media.mydiamonds.info/mplayer/XSBMF044?u=EUNIz5WT2fZuddhkusing20173KEWOyDkGdL+Aiddhkusing2017LlKjLS2pHI80UgLh2lEXn9OFnY8ZCdyLESVvJdNGEOddhkusing2017ahWBZ2w8Hm+OxACm5DP3gT4WtvH1bWD9rPpw=" TargetMode="External"/><Relationship Id="rId318" Type="http://schemas.openxmlformats.org/officeDocument/2006/relationships/hyperlink" Target="https://media.mydiamonds.info/diamond-detail.aspx?r=XSBMF044&amp;u=EUNIz5WT2fZuddhkusing20173KEWOyDkGdL+Aiddhkusing2017LlKjLS2pHI80UgLh2lEXn9OFnY8ZCdyLESVvJdNGEOddhkusing2017ahWBZ2w8Hm+OxACm5DP3gT4WtvH1bWD9rPpw=&amp;source=From_Excelweb" TargetMode="External"/><Relationship Id="rId319" Type="http://schemas.openxmlformats.org/officeDocument/2006/relationships/hyperlink" Target="https://media.mydiamonds.info/certificate/YSNOO358?u=EUNIz5WT2fZuddhkusing20173KEWOyDkGdL+Aiddhkusing2017LlKjLS2pHI80UgLh2lEXn9OFnY8ZCdyLESVvJdNGEOddhkusing2017ahWBZ2w8Hm+OxACm5DP3gT4WtvH1bWD9rPpw=" TargetMode="External"/><Relationship Id="rId320" Type="http://schemas.openxmlformats.org/officeDocument/2006/relationships/hyperlink" Target="https://media.mydiamonds.info/hna/YSNOO358?u=EUNIz5WT2fZuddhkusing20173KEWOyDkGdL+Aiddhkusing2017LlKjLS2pHI80UgLh2lEXn9OFnY8ZCdyLESVvJdNGEOddhkusing2017ahWBZ2w8Hm+OxACm5DP3gT4WtvH1bWD9rPpw=" TargetMode="External"/><Relationship Id="rId321" Type="http://schemas.openxmlformats.org/officeDocument/2006/relationships/hyperlink" Target="https://media.mydiamonds.info/mplayer/YSNOO358?u=EUNIz5WT2fZuddhkusing20173KEWOyDkGdL+Aiddhkusing2017LlKjLS2pHI80UgLh2lEXn9OFnY8ZCdyLESVvJdNGEOddhkusing2017ahWBZ2w8Hm+OxACm5DP3gT4WtvH1bWD9rPpw=" TargetMode="External"/><Relationship Id="rId322" Type="http://schemas.openxmlformats.org/officeDocument/2006/relationships/hyperlink" Target="https://media.mydiamonds.info/diamond-detail.aspx?r=YSNOO358&amp;u=EUNIz5WT2fZuddhkusing20173KEWOyDkGdL+Aiddhkusing2017LlKjLS2pHI80UgLh2lEXn9OFnY8ZCdyLESVvJdNGEOddhkusing2017ahWBZ2w8Hm+OxACm5DP3gT4WtvH1bWD9rPpw=&amp;source=From_Excelweb" TargetMode="External"/><Relationship Id="rId323" Type="http://schemas.openxmlformats.org/officeDocument/2006/relationships/hyperlink" Target="https://media.mydiamonds.info/certificate/YSNRO120?u=EUNIz5WT2fZuddhkusing20173KEWOyDkGdL+Aiddhkusing2017LlKjLS2pHI80UgLh2lEXn9OFnY8ZCdyLESVvJdNGEOddhkusing2017ahWBZ2w8Hm+OxACm5DP3gT4WtvH1bWD9rPpw=" TargetMode="External"/><Relationship Id="rId324" Type="http://schemas.openxmlformats.org/officeDocument/2006/relationships/hyperlink" Target="https://media.mydiamonds.info/hna/YSNRO120?u=EUNIz5WT2fZuddhkusing20173KEWOyDkGdL+Aiddhkusing2017LlKjLS2pHI80UgLh2lEXn9OFnY8ZCdyLESVvJdNGEOddhkusing2017ahWBZ2w8Hm+OxACm5DP3gT4WtvH1bWD9rPpw=" TargetMode="External"/><Relationship Id="rId325" Type="http://schemas.openxmlformats.org/officeDocument/2006/relationships/hyperlink" Target="https://media.mydiamonds.info/mplayer/YSNRO120?u=EUNIz5WT2fZuddhkusing20173KEWOyDkGdL+Aiddhkusing2017LlKjLS2pHI80UgLh2lEXn9OFnY8ZCdyLESVvJdNGEOddhkusing2017ahWBZ2w8Hm+OxACm5DP3gT4WtvH1bWD9rPpw=" TargetMode="External"/><Relationship Id="rId326" Type="http://schemas.openxmlformats.org/officeDocument/2006/relationships/hyperlink" Target="https://media.mydiamonds.info/diamond-detail.aspx?r=YSNRO120&amp;u=EUNIz5WT2fZuddhkusing20173KEWOyDkGdL+Aiddhkusing2017LlKjLS2pHI80UgLh2lEXn9OFnY8ZCdyLESVvJdNGEOddhkusing2017ahWBZ2w8Hm+OxACm5DP3gT4WtvH1bWD9rPpw=&amp;source=From_Excelweb" TargetMode="External"/><Relationship Id="rId327" Type="http://schemas.openxmlformats.org/officeDocument/2006/relationships/hyperlink" Target="https://media.mydiamonds.info/certificate/YSCBH121?u=EUNIz5WT2fZuddhkusing20173KEWOyDkGdL+Aiddhkusing2017LlKjLS2pHI80UgLh2lEXn9OFnY8ZCdyLESVvJdNGEOddhkusing2017ahWBZ2w8Hm+OxACm5DP3gT4WtvH1bWD9rPpw=" TargetMode="External"/><Relationship Id="rId328" Type="http://schemas.openxmlformats.org/officeDocument/2006/relationships/hyperlink" Target="https://media.mydiamonds.info/hna/YSCBH121?u=EUNIz5WT2fZuddhkusing20173KEWOyDkGdL+Aiddhkusing2017LlKjLS2pHI80UgLh2lEXn9OFnY8ZCdyLESVvJdNGEOddhkusing2017ahWBZ2w8Hm+OxACm5DP3gT4WtvH1bWD9rPpw=" TargetMode="External"/><Relationship Id="rId329" Type="http://schemas.openxmlformats.org/officeDocument/2006/relationships/hyperlink" Target="https://media.mydiamonds.info/mplayer/YSCBH121?u=EUNIz5WT2fZuddhkusing20173KEWOyDkGdL+Aiddhkusing2017LlKjLS2pHI80UgLh2lEXn9OFnY8ZCdyLESVvJdNGEOddhkusing2017ahWBZ2w8Hm+OxACm5DP3gT4WtvH1bWD9rPpw=" TargetMode="External"/><Relationship Id="rId330" Type="http://schemas.openxmlformats.org/officeDocument/2006/relationships/hyperlink" Target="https://media.mydiamonds.info/diamond-detail.aspx?r=YSCBH121&amp;u=EUNIz5WT2fZuddhkusing20173KEWOyDkGdL+Aiddhkusing2017LlKjLS2pHI80UgLh2lEXn9OFnY8ZCdyLESVvJdNGEOddhkusing2017ahWBZ2w8Hm+OxACm5DP3gT4WtvH1bWD9rPpw=&amp;source=From_Excelweb" TargetMode="External"/><Relationship Id="rId331" Type="http://schemas.openxmlformats.org/officeDocument/2006/relationships/hyperlink" Target="https://media.mydiamonds.info/certificate/YSMVH052?u=EUNIz5WT2fZuddhkusing20173KEWOyDkGdL+Aiddhkusing2017LlKjLS2pHI80UgLh2lEXn9OFnY8ZCdyLESVvJdNGEOddhkusing2017ahWBZ2w8Hm+OxACm5DP3gT4WtvH1bWD9rPpw=" TargetMode="External"/><Relationship Id="rId332" Type="http://schemas.openxmlformats.org/officeDocument/2006/relationships/hyperlink" Target="https://media.mydiamonds.info/mplayer/YSMVH052?u=EUNIz5WT2fZuddhkusing20173KEWOyDkGdL+Aiddhkusing2017LlKjLS2pHI80UgLh2lEXn9OFnY8ZCdyLESVvJdNGEOddhkusing2017ahWBZ2w8Hm+OxACm5DP3gT4WtvH1bWD9rPpw=" TargetMode="External"/><Relationship Id="rId333" Type="http://schemas.openxmlformats.org/officeDocument/2006/relationships/hyperlink" Target="https://media.mydiamonds.info/diamond-detail.aspx?r=YSMVH052&amp;u=EUNIz5WT2fZuddhkusing20173KEWOyDkGdL+Aiddhkusing2017LlKjLS2pHI80UgLh2lEXn9OFnY8ZCdyLESVvJdNGEOddhkusing2017ahWBZ2w8Hm+OxACm5DP3gT4WtvH1bWD9rPpw=&amp;source=From_Excelweb" TargetMode="External"/><Relationship Id="rId334" Type="http://schemas.openxmlformats.org/officeDocument/2006/relationships/hyperlink" Target="https://media.mydiamonds.info/certificate/YSNDB045?u=EUNIz5WT2fZuddhkusing20173KEWOyDkGdL+Aiddhkusing2017LlKjLS2pHI80UgLh2lEXn9OFnY8ZCdyLESVvJdNGEOddhkusing2017ahWBZ2w8Hm+OxACm5DP3gT4WtvH1bWD9rPpw=" TargetMode="External"/><Relationship Id="rId335" Type="http://schemas.openxmlformats.org/officeDocument/2006/relationships/hyperlink" Target="https://media.mydiamonds.info/hna/YSNDB045?u=EUNIz5WT2fZuddhkusing20173KEWOyDkGdL+Aiddhkusing2017LlKjLS2pHI80UgLh2lEXn9OFnY8ZCdyLESVvJdNGEOddhkusing2017ahWBZ2w8Hm+OxACm5DP3gT4WtvH1bWD9rPpw=" TargetMode="External"/><Relationship Id="rId336" Type="http://schemas.openxmlformats.org/officeDocument/2006/relationships/hyperlink" Target="https://media.mydiamonds.info/mplayer/YSNDB045?u=EUNIz5WT2fZuddhkusing20173KEWOyDkGdL+Aiddhkusing2017LlKjLS2pHI80UgLh2lEXn9OFnY8ZCdyLESVvJdNGEOddhkusing2017ahWBZ2w8Hm+OxACm5DP3gT4WtvH1bWD9rPpw=" TargetMode="External"/><Relationship Id="rId337" Type="http://schemas.openxmlformats.org/officeDocument/2006/relationships/hyperlink" Target="https://media.mydiamonds.info/diamond-detail.aspx?r=YSNDB045&amp;u=EUNIz5WT2fZuddhkusing20173KEWOyDkGdL+Aiddhkusing2017LlKjLS2pHI80UgLh2lEXn9OFnY8ZCdyLESVvJdNGEOddhkusing2017ahWBZ2w8Hm+OxACm5DP3gT4WtvH1bWD9rPpw=&amp;source=From_Excelweb" TargetMode="External"/><Relationship Id="rId338" Type="http://schemas.openxmlformats.org/officeDocument/2006/relationships/hyperlink" Target="https://media.mydiamonds.info/certificate/YSBZP087?u=EUNIz5WT2fZuddhkusing20173KEWOyDkGdL+Aiddhkusing2017LlKjLS2pHI80UgLh2lEXn9OFnY8ZCdyLESVvJdNGEOddhkusing2017ahWBZ2w8Hm+OxACm5DP3gT4WtvH1bWD9rPpw=" TargetMode="External"/><Relationship Id="rId339" Type="http://schemas.openxmlformats.org/officeDocument/2006/relationships/hyperlink" Target="https://media.mydiamonds.info/mplayer/YSBZP087?u=EUNIz5WT2fZuddhkusing20173KEWOyDkGdL+Aiddhkusing2017LlKjLS2pHI80UgLh2lEXn9OFnY8ZCdyLESVvJdNGEOddhkusing2017ahWBZ2w8Hm+OxACm5DP3gT4WtvH1bWD9rPpw=" TargetMode="External"/><Relationship Id="rId340" Type="http://schemas.openxmlformats.org/officeDocument/2006/relationships/hyperlink" Target="https://media.mydiamonds.info/diamond-detail.aspx?r=YSBZP087&amp;u=EUNIz5WT2fZuddhkusing20173KEWOyDkGdL+Aiddhkusing2017LlKjLS2pHI80UgLh2lEXn9OFnY8ZCdyLESVvJdNGEOddhkusing2017ahWBZ2w8Hm+OxACm5DP3gT4WtvH1bWD9rPpw=&amp;source=From_Excelweb" TargetMode="External"/><Relationship Id="rId341" Type="http://schemas.openxmlformats.org/officeDocument/2006/relationships/hyperlink" Target="https://media.mydiamonds.info/certificate/XSBLB044?u=EUNIz5WT2fZuddhkusing20173KEWOyDkGdL+Aiddhkusing2017LlKjLS2pHI80UgLh2lEXn9OFnY8ZCdyLESVvJdNGEOddhkusing2017ahWBZ2w8Hm+OxACm5DP3gT4WtvH1bWD9rPpw=" TargetMode="External"/><Relationship Id="rId342" Type="http://schemas.openxmlformats.org/officeDocument/2006/relationships/hyperlink" Target="https://media.mydiamonds.info/mplayer/XSBLB044?u=EUNIz5WT2fZuddhkusing20173KEWOyDkGdL+Aiddhkusing2017LlKjLS2pHI80UgLh2lEXn9OFnY8ZCdyLESVvJdNGEOddhkusing2017ahWBZ2w8Hm+OxACm5DP3gT4WtvH1bWD9rPpw=" TargetMode="External"/><Relationship Id="rId343" Type="http://schemas.openxmlformats.org/officeDocument/2006/relationships/hyperlink" Target="https://media.mydiamonds.info/diamond-detail.aspx?r=XSBLB044&amp;u=EUNIz5WT2fZuddhkusing20173KEWOyDkGdL+Aiddhkusing2017LlKjLS2pHI80UgLh2lEXn9OFnY8ZCdyLESVvJdNGEOddhkusing2017ahWBZ2w8Hm+OxACm5DP3gT4WtvH1bWD9rPpw=&amp;source=From_Excelweb" TargetMode="External"/><Relationship Id="rId344" Type="http://schemas.openxmlformats.org/officeDocument/2006/relationships/hyperlink" Target="https://media.mydiamonds.info/certificate/YSCCT040?u=EUNIz5WT2fZuddhkusing20173KEWOyDkGdL+Aiddhkusing2017LlKjLS2pHI80UgLh2lEXn9OFnY8ZCdyLESVvJdNGEOddhkusing2017ahWBZ2w8Hm+OxACm5DP3gT4WtvH1bWD9rPpw=" TargetMode="External"/><Relationship Id="rId345" Type="http://schemas.openxmlformats.org/officeDocument/2006/relationships/hyperlink" Target="https://media.mydiamonds.info/hna/YSCCT040?u=EUNIz5WT2fZuddhkusing20173KEWOyDkGdL+Aiddhkusing2017LlKjLS2pHI80UgLh2lEXn9OFnY8ZCdyLESVvJdNGEOddhkusing2017ahWBZ2w8Hm+OxACm5DP3gT4WtvH1bWD9rPpw=" TargetMode="External"/><Relationship Id="rId346" Type="http://schemas.openxmlformats.org/officeDocument/2006/relationships/hyperlink" Target="https://media.mydiamonds.info/mplayer/YSCCT040?u=EUNIz5WT2fZuddhkusing20173KEWOyDkGdL+Aiddhkusing2017LlKjLS2pHI80UgLh2lEXn9OFnY8ZCdyLESVvJdNGEOddhkusing2017ahWBZ2w8Hm+OxACm5DP3gT4WtvH1bWD9rPpw=" TargetMode="External"/><Relationship Id="rId347" Type="http://schemas.openxmlformats.org/officeDocument/2006/relationships/hyperlink" Target="https://media.mydiamonds.info/diamond-detail.aspx?r=YSCCT040&amp;u=EUNIz5WT2fZuddhkusing20173KEWOyDkGdL+Aiddhkusing2017LlKjLS2pHI80UgLh2lEXn9OFnY8ZCdyLESVvJdNGEOddhkusing2017ahWBZ2w8Hm+OxACm5DP3gT4WtvH1bWD9rPpw=&amp;source=From_Excelweb" TargetMode="External"/><Relationship Id="rId348" Type="http://schemas.openxmlformats.org/officeDocument/2006/relationships/hyperlink" Target="https://media.mydiamonds.info/certificate/YSBSN086?u=EUNIz5WT2fZuddhkusing20173KEWOyDkGdL+Aiddhkusing2017LlKjLS2pHI80UgLh2lEXn9OFnY8ZCdyLESVvJdNGEOddhkusing2017ahWBZ2w8Hm+OxACm5DP3gT4WtvH1bWD9rPpw=" TargetMode="External"/><Relationship Id="rId349" Type="http://schemas.openxmlformats.org/officeDocument/2006/relationships/hyperlink" Target="https://media.mydiamonds.info/hna/YSBSN086?u=EUNIz5WT2fZuddhkusing20173KEWOyDkGdL+Aiddhkusing2017LlKjLS2pHI80UgLh2lEXn9OFnY8ZCdyLESVvJdNGEOddhkusing2017ahWBZ2w8Hm+OxACm5DP3gT4WtvH1bWD9rPpw=" TargetMode="External"/><Relationship Id="rId350" Type="http://schemas.openxmlformats.org/officeDocument/2006/relationships/hyperlink" Target="https://media.mydiamonds.info/mplayer/YSBSN086?u=EUNIz5WT2fZuddhkusing20173KEWOyDkGdL+Aiddhkusing2017LlKjLS2pHI80UgLh2lEXn9OFnY8ZCdyLESVvJdNGEOddhkusing2017ahWBZ2w8Hm+OxACm5DP3gT4WtvH1bWD9rPpw=" TargetMode="External"/><Relationship Id="rId351" Type="http://schemas.openxmlformats.org/officeDocument/2006/relationships/hyperlink" Target="https://media.mydiamonds.info/diamond-detail.aspx?r=YSBSN086&amp;u=EUNIz5WT2fZuddhkusing20173KEWOyDkGdL+Aiddhkusing2017LlKjLS2pHI80UgLh2lEXn9OFnY8ZCdyLESVvJdNGEOddhkusing2017ahWBZ2w8Hm+OxACm5DP3gT4WtvH1bWD9rPpw=&amp;source=From_Excelweb" TargetMode="External"/><Relationship Id="rId352" Type="http://schemas.openxmlformats.org/officeDocument/2006/relationships/hyperlink" Target="https://media.mydiamonds.info/certificate/YSNRR142?u=EUNIz5WT2fZuddhkusing20173KEWOyDkGdL+Aiddhkusing2017LlKjLS2pHI80UgLh2lEXn9OFnY8ZCdyLESVvJdNGEOddhkusing2017ahWBZ2w8Hm+OxACm5DP3gT4WtvH1bWD9rPpw=" TargetMode="External"/><Relationship Id="rId353" Type="http://schemas.openxmlformats.org/officeDocument/2006/relationships/hyperlink" Target="https://media.mydiamonds.info/mplayer/YSNRR142?u=EUNIz5WT2fZuddhkusing20173KEWOyDkGdL+Aiddhkusing2017LlKjLS2pHI80UgLh2lEXn9OFnY8ZCdyLESVvJdNGEOddhkusing2017ahWBZ2w8Hm+OxACm5DP3gT4WtvH1bWD9rPpw=" TargetMode="External"/><Relationship Id="rId354" Type="http://schemas.openxmlformats.org/officeDocument/2006/relationships/hyperlink" Target="https://media.mydiamonds.info/diamond-detail.aspx?r=YSNRR142&amp;u=EUNIz5WT2fZuddhkusing20173KEWOyDkGdL+Aiddhkusing2017LlKjLS2pHI80UgLh2lEXn9OFnY8ZCdyLESVvJdNGEOddhkusing2017ahWBZ2w8Hm+OxACm5DP3gT4WtvH1bWD9rPpw=&amp;source=From_Excelweb" TargetMode="External"/><Relationship Id="rId355" Type="http://schemas.openxmlformats.org/officeDocument/2006/relationships/hyperlink" Target="https://media.mydiamonds.info/certificate/YSCHR037?u=EUNIz5WT2fZuddhkusing20173KEWOyDkGdL+Aiddhkusing2017LlKjLS2pHI80UgLh2lEXn9OFnY8ZCdyLESVvJdNGEOddhkusing2017ahWBZ2w8Hm+OxACm5DP3gT4WtvH1bWD9rPpw=" TargetMode="External"/><Relationship Id="rId356" Type="http://schemas.openxmlformats.org/officeDocument/2006/relationships/hyperlink" Target="https://media.mydiamonds.info/hna/YSCHR037?u=EUNIz5WT2fZuddhkusing20173KEWOyDkGdL+Aiddhkusing2017LlKjLS2pHI80UgLh2lEXn9OFnY8ZCdyLESVvJdNGEOddhkusing2017ahWBZ2w8Hm+OxACm5DP3gT4WtvH1bWD9rPpw=" TargetMode="External"/><Relationship Id="rId357" Type="http://schemas.openxmlformats.org/officeDocument/2006/relationships/hyperlink" Target="https://media.mydiamonds.info/mplayer/YSCHR037?u=EUNIz5WT2fZuddhkusing20173KEWOyDkGdL+Aiddhkusing2017LlKjLS2pHI80UgLh2lEXn9OFnY8ZCdyLESVvJdNGEOddhkusing2017ahWBZ2w8Hm+OxACm5DP3gT4WtvH1bWD9rPpw=" TargetMode="External"/><Relationship Id="rId358" Type="http://schemas.openxmlformats.org/officeDocument/2006/relationships/hyperlink" Target="https://media.mydiamonds.info/diamond-detail.aspx?r=YSCHR037&amp;u=EUNIz5WT2fZuddhkusing20173KEWOyDkGdL+Aiddhkusing2017LlKjLS2pHI80UgLh2lEXn9OFnY8ZCdyLESVvJdNGEOddhkusing2017ahWBZ2w8Hm+OxACm5DP3gT4WtvH1bWD9rPpw=&amp;source=From_Excelweb" TargetMode="External"/><Relationship Id="rId359" Type="http://schemas.openxmlformats.org/officeDocument/2006/relationships/hyperlink" Target="https://media.mydiamonds.info/certificate/YSCFB064?u=EUNIz5WT2fZuddhkusing20173KEWOyDkGdL+Aiddhkusing2017LlKjLS2pHI80UgLh2lEXn9OFnY8ZCdyLESVvJdNGEOddhkusing2017ahWBZ2w8Hm+OxACm5DP3gT4WtvH1bWD9rPpw=" TargetMode="External"/><Relationship Id="rId360" Type="http://schemas.openxmlformats.org/officeDocument/2006/relationships/hyperlink" Target="https://media.mydiamonds.info/mplayer/YSCFB064?u=EUNIz5WT2fZuddhkusing20173KEWOyDkGdL+Aiddhkusing2017LlKjLS2pHI80UgLh2lEXn9OFnY8ZCdyLESVvJdNGEOddhkusing2017ahWBZ2w8Hm+OxACm5DP3gT4WtvH1bWD9rPpw=" TargetMode="External"/><Relationship Id="rId361" Type="http://schemas.openxmlformats.org/officeDocument/2006/relationships/hyperlink" Target="https://media.mydiamonds.info/diamond-detail.aspx?r=YSCFB064&amp;u=EUNIz5WT2fZuddhkusing20173KEWOyDkGdL+Aiddhkusing2017LlKjLS2pHI80UgLh2lEXn9OFnY8ZCdyLESVvJdNGEOddhkusing2017ahWBZ2w8Hm+OxACm5DP3gT4WtvH1bWD9rPpw=&amp;source=From_Excelweb" TargetMode="External"/><Relationship Id="rId362" Type="http://schemas.openxmlformats.org/officeDocument/2006/relationships/hyperlink" Target="https://media.mydiamonds.info/certificate/YSCHL028?u=EUNIz5WT2fZuddhkusing20173KEWOyDkGdL+Aiddhkusing2017LlKjLS2pHI80UgLh2lEXn9OFnY8ZCdyLESVvJdNGEOddhkusing2017ahWBZ2w8Hm+OxACm5DP3gT4WtvH1bWD9rPpw=" TargetMode="External"/><Relationship Id="rId363" Type="http://schemas.openxmlformats.org/officeDocument/2006/relationships/hyperlink" Target="https://media.mydiamonds.info/mplayer/YSCHL028?u=EUNIz5WT2fZuddhkusing20173KEWOyDkGdL+Aiddhkusing2017LlKjLS2pHI80UgLh2lEXn9OFnY8ZCdyLESVvJdNGEOddhkusing2017ahWBZ2w8Hm+OxACm5DP3gT4WtvH1bWD9rPpw=" TargetMode="External"/><Relationship Id="rId364" Type="http://schemas.openxmlformats.org/officeDocument/2006/relationships/hyperlink" Target="https://media.mydiamonds.info/diamond-detail.aspx?r=YSCHL028&amp;u=EUNIz5WT2fZuddhkusing20173KEWOyDkGdL+Aiddhkusing2017LlKjLS2pHI80UgLh2lEXn9OFnY8ZCdyLESVvJdNGEOddhkusing2017ahWBZ2w8Hm+OxACm5DP3gT4WtvH1bWD9rPpw=&amp;source=From_Excelweb" TargetMode="External"/><Relationship Id="rId365" Type="http://schemas.openxmlformats.org/officeDocument/2006/relationships/hyperlink" Target="https://media.mydiamonds.info/certificate/YSCHW007?u=EUNIz5WT2fZuddhkusing20173KEWOyDkGdL+Aiddhkusing2017LlKjLS2pHI80UgLh2lEXn9OFnY8ZCdyLESVvJdNGEOddhkusing2017ahWBZ2w8Hm+OxACm5DP3gT4WtvH1bWD9rPpw=" TargetMode="External"/><Relationship Id="rId366" Type="http://schemas.openxmlformats.org/officeDocument/2006/relationships/hyperlink" Target="https://media.mydiamonds.info/hna/YSCHW007?u=EUNIz5WT2fZuddhkusing20173KEWOyDkGdL+Aiddhkusing2017LlKjLS2pHI80UgLh2lEXn9OFnY8ZCdyLESVvJdNGEOddhkusing2017ahWBZ2w8Hm+OxACm5DP3gT4WtvH1bWD9rPpw=" TargetMode="External"/><Relationship Id="rId367" Type="http://schemas.openxmlformats.org/officeDocument/2006/relationships/hyperlink" Target="https://media.mydiamonds.info/mplayer/YSCHW007?u=EUNIz5WT2fZuddhkusing20173KEWOyDkGdL+Aiddhkusing2017LlKjLS2pHI80UgLh2lEXn9OFnY8ZCdyLESVvJdNGEOddhkusing2017ahWBZ2w8Hm+OxACm5DP3gT4WtvH1bWD9rPpw=" TargetMode="External"/><Relationship Id="rId368" Type="http://schemas.openxmlformats.org/officeDocument/2006/relationships/hyperlink" Target="https://media.mydiamonds.info/diamond-detail.aspx?r=YSCHW007&amp;u=EUNIz5WT2fZuddhkusing20173KEWOyDkGdL+Aiddhkusing2017LlKjLS2pHI80UgLh2lEXn9OFnY8ZCdyLESVvJdNGEOddhkusing2017ahWBZ2w8Hm+OxACm5DP3gT4WtvH1bWD9rPpw=&amp;source=From_Excelweb" TargetMode="External"/><Relationship Id="rId369" Type="http://schemas.openxmlformats.org/officeDocument/2006/relationships/hyperlink" Target="https://media.mydiamonds.info/certificate/YSCEO013?u=EUNIz5WT2fZuddhkusing20173KEWOyDkGdL+Aiddhkusing2017LlKjLS2pHI80UgLh2lEXn9OFnY8ZCdyLESVvJdNGEOddhkusing2017ahWBZ2w8Hm+OxACm5DP3gT4WtvH1bWD9rPpw=" TargetMode="External"/><Relationship Id="rId370" Type="http://schemas.openxmlformats.org/officeDocument/2006/relationships/hyperlink" Target="https://media.mydiamonds.info/hna/YSCEO013?u=EUNIz5WT2fZuddhkusing20173KEWOyDkGdL+Aiddhkusing2017LlKjLS2pHI80UgLh2lEXn9OFnY8ZCdyLESVvJdNGEOddhkusing2017ahWBZ2w8Hm+OxACm5DP3gT4WtvH1bWD9rPpw=" TargetMode="External"/><Relationship Id="rId371" Type="http://schemas.openxmlformats.org/officeDocument/2006/relationships/hyperlink" Target="https://media.mydiamonds.info/mplayer/YSCEO013?u=EUNIz5WT2fZuddhkusing20173KEWOyDkGdL+Aiddhkusing2017LlKjLS2pHI80UgLh2lEXn9OFnY8ZCdyLESVvJdNGEOddhkusing2017ahWBZ2w8Hm+OxACm5DP3gT4WtvH1bWD9rPpw=" TargetMode="External"/><Relationship Id="rId372" Type="http://schemas.openxmlformats.org/officeDocument/2006/relationships/hyperlink" Target="https://media.mydiamonds.info/diamond-detail.aspx?r=YSCEO013&amp;u=EUNIz5WT2fZuddhkusing20173KEWOyDkGdL+Aiddhkusing2017LlKjLS2pHI80UgLh2lEXn9OFnY8ZCdyLESVvJdNGEOddhkusing2017ahWBZ2w8Hm+OxACm5DP3gT4WtvH1bWD9rPpw=&amp;source=From_Excelweb" TargetMode="External"/><Relationship Id="rId373" Type="http://schemas.openxmlformats.org/officeDocument/2006/relationships/hyperlink" Target="https://media.mydiamonds.info/certificate/YSCCI079?u=EUNIz5WT2fZuddhkusing20173KEWOyDkGdL+Aiddhkusing2017LlKjLS2pHI80UgLh2lEXn9OFnY8ZCdyLESVvJdNGEOddhkusing2017ahWBZ2w8Hm+OxACm5DP3gT4WtvH1bWD9rPpw=" TargetMode="External"/><Relationship Id="rId374" Type="http://schemas.openxmlformats.org/officeDocument/2006/relationships/hyperlink" Target="https://media.mydiamonds.info/mplayer/YSCCI079?u=EUNIz5WT2fZuddhkusing20173KEWOyDkGdL+Aiddhkusing2017LlKjLS2pHI80UgLh2lEXn9OFnY8ZCdyLESVvJdNGEOddhkusing2017ahWBZ2w8Hm+OxACm5DP3gT4WtvH1bWD9rPpw=" TargetMode="External"/><Relationship Id="rId375" Type="http://schemas.openxmlformats.org/officeDocument/2006/relationships/hyperlink" Target="https://media.mydiamonds.info/diamond-detail.aspx?r=YSCCI079&amp;u=EUNIz5WT2fZuddhkusing20173KEWOyDkGdL+Aiddhkusing2017LlKjLS2pHI80UgLh2lEXn9OFnY8ZCdyLESVvJdNGEOddhkusing2017ahWBZ2w8Hm+OxACm5DP3gT4WtvH1bWD9rPpw=&amp;source=From_Excelweb" TargetMode="External"/><Relationship Id="rId376" Type="http://schemas.openxmlformats.org/officeDocument/2006/relationships/hyperlink" Target="https://media.mydiamonds.info/certificate/YSCGX046?u=EUNIz5WT2fZuddhkusing20173KEWOyDkGdL+Aiddhkusing2017LlKjLS2pHI80UgLh2lEXn9OFnY8ZCdyLESVvJdNGEOddhkusing2017ahWBZ2w8Hm+OxACm5DP3gT4WtvH1bWD9rPpw=" TargetMode="External"/><Relationship Id="rId377" Type="http://schemas.openxmlformats.org/officeDocument/2006/relationships/hyperlink" Target="https://media.mydiamonds.info/hna/YSCGX046?u=EUNIz5WT2fZuddhkusing20173KEWOyDkGdL+Aiddhkusing2017LlKjLS2pHI80UgLh2lEXn9OFnY8ZCdyLESVvJdNGEOddhkusing2017ahWBZ2w8Hm+OxACm5DP3gT4WtvH1bWD9rPpw=" TargetMode="External"/><Relationship Id="rId378" Type="http://schemas.openxmlformats.org/officeDocument/2006/relationships/hyperlink" Target="https://media.mydiamonds.info/mplayer/YSCGX046?u=EUNIz5WT2fZuddhkusing20173KEWOyDkGdL+Aiddhkusing2017LlKjLS2pHI80UgLh2lEXn9OFnY8ZCdyLESVvJdNGEOddhkusing2017ahWBZ2w8Hm+OxACm5DP3gT4WtvH1bWD9rPpw=" TargetMode="External"/><Relationship Id="rId379" Type="http://schemas.openxmlformats.org/officeDocument/2006/relationships/hyperlink" Target="https://media.mydiamonds.info/diamond-detail.aspx?r=YSCGX046&amp;u=EUNIz5WT2fZuddhkusing20173KEWOyDkGdL+Aiddhkusing2017LlKjLS2pHI80UgLh2lEXn9OFnY8ZCdyLESVvJdNGEOddhkusing2017ahWBZ2w8Hm+OxACm5DP3gT4WtvH1bWD9rPpw=&amp;source=From_Excelweb" TargetMode="External"/><Relationship Id="rId380" Type="http://schemas.openxmlformats.org/officeDocument/2006/relationships/hyperlink" Target="https://media.mydiamonds.info/certificate/YSNRO111?u=EUNIz5WT2fZuddhkusing20173KEWOyDkGdL+Aiddhkusing2017LlKjLS2pHI80UgLh2lEXn9OFnY8ZCdyLESVvJdNGEOddhkusing2017ahWBZ2w8Hm+OxACm5DP3gT4WtvH1bWD9rPpw=" TargetMode="External"/><Relationship Id="rId381" Type="http://schemas.openxmlformats.org/officeDocument/2006/relationships/hyperlink" Target="https://media.mydiamonds.info/mplayer/YSNRO111?u=EUNIz5WT2fZuddhkusing20173KEWOyDkGdL+Aiddhkusing2017LlKjLS2pHI80UgLh2lEXn9OFnY8ZCdyLESVvJdNGEOddhkusing2017ahWBZ2w8Hm+OxACm5DP3gT4WtvH1bWD9rPpw=" TargetMode="External"/><Relationship Id="rId382" Type="http://schemas.openxmlformats.org/officeDocument/2006/relationships/hyperlink" Target="https://media.mydiamonds.info/diamond-detail.aspx?r=YSNRO111&amp;u=EUNIz5WT2fZuddhkusing20173KEWOyDkGdL+Aiddhkusing2017LlKjLS2pHI80UgLh2lEXn9OFnY8ZCdyLESVvJdNGEOddhkusing2017ahWBZ2w8Hm+OxACm5DP3gT4WtvH1bWD9rPpw=&amp;source=From_Excelweb" TargetMode="External"/><Relationship Id="rId383" Type="http://schemas.openxmlformats.org/officeDocument/2006/relationships/hyperlink" Target="https://media.mydiamonds.info/certificate/YSCGL116?u=EUNIz5WT2fZuddhkusing20173KEWOyDkGdL+Aiddhkusing2017LlKjLS2pHI80UgLh2lEXn9OFnY8ZCdyLESVvJdNGEOddhkusing2017ahWBZ2w8Hm+OxACm5DP3gT4WtvH1bWD9rPpw=" TargetMode="External"/><Relationship Id="rId384" Type="http://schemas.openxmlformats.org/officeDocument/2006/relationships/hyperlink" Target="https://media.mydiamonds.info/mplayer/YSCGL116?u=EUNIz5WT2fZuddhkusing20173KEWOyDkGdL+Aiddhkusing2017LlKjLS2pHI80UgLh2lEXn9OFnY8ZCdyLESVvJdNGEOddhkusing2017ahWBZ2w8Hm+OxACm5DP3gT4WtvH1bWD9rPpw=" TargetMode="External"/><Relationship Id="rId385" Type="http://schemas.openxmlformats.org/officeDocument/2006/relationships/hyperlink" Target="https://media.mydiamonds.info/diamond-detail.aspx?r=YSCGL116&amp;u=EUNIz5WT2fZuddhkusing20173KEWOyDkGdL+Aiddhkusing2017LlKjLS2pHI80UgLh2lEXn9OFnY8ZCdyLESVvJdNGEOddhkusing2017ahWBZ2w8Hm+OxACm5DP3gT4WtvH1bWD9rPpw=&amp;source=From_Excelweb" TargetMode="External"/><Relationship Id="rId386" Type="http://schemas.openxmlformats.org/officeDocument/2006/relationships/hyperlink" Target="https://media.mydiamonds.info/certificate/YSCGX090?u=EUNIz5WT2fZuddhkusing20173KEWOyDkGdL+Aiddhkusing2017LlKjLS2pHI80UgLh2lEXn9OFnY8ZCdyLESVvJdNGEOddhkusing2017ahWBZ2w8Hm+OxACm5DP3gT4WtvH1bWD9rPpw=" TargetMode="External"/><Relationship Id="rId387" Type="http://schemas.openxmlformats.org/officeDocument/2006/relationships/hyperlink" Target="https://media.mydiamonds.info/hna/YSCGX090?u=EUNIz5WT2fZuddhkusing20173KEWOyDkGdL+Aiddhkusing2017LlKjLS2pHI80UgLh2lEXn9OFnY8ZCdyLESVvJdNGEOddhkusing2017ahWBZ2w8Hm+OxACm5DP3gT4WtvH1bWD9rPpw=" TargetMode="External"/><Relationship Id="rId388" Type="http://schemas.openxmlformats.org/officeDocument/2006/relationships/hyperlink" Target="https://media.mydiamonds.info/mplayer/YSCGX090?u=EUNIz5WT2fZuddhkusing20173KEWOyDkGdL+Aiddhkusing2017LlKjLS2pHI80UgLh2lEXn9OFnY8ZCdyLESVvJdNGEOddhkusing2017ahWBZ2w8Hm+OxACm5DP3gT4WtvH1bWD9rPpw=" TargetMode="External"/><Relationship Id="rId389" Type="http://schemas.openxmlformats.org/officeDocument/2006/relationships/hyperlink" Target="https://media.mydiamonds.info/diamond-detail.aspx?r=YSCGX090&amp;u=EUNIz5WT2fZuddhkusing20173KEWOyDkGdL+Aiddhkusing2017LlKjLS2pHI80UgLh2lEXn9OFnY8ZCdyLESVvJdNGEOddhkusing2017ahWBZ2w8Hm+OxACm5DP3gT4WtvH1bWD9rPpw=&amp;source=From_Excelweb" TargetMode="External"/><Relationship Id="rId390" Type="http://schemas.openxmlformats.org/officeDocument/2006/relationships/hyperlink" Target="https://media.mydiamonds.info/certificate/YSCCE041?u=EUNIz5WT2fZuddhkusing20173KEWOyDkGdL+Aiddhkusing2017LlKjLS2pHI80UgLh2lEXn9OFnY8ZCdyLESVvJdNGEOddhkusing2017ahWBZ2w8Hm+OxACm5DP3gT4WtvH1bWD9rPpw=" TargetMode="External"/><Relationship Id="rId391" Type="http://schemas.openxmlformats.org/officeDocument/2006/relationships/hyperlink" Target="https://media.mydiamonds.info/mplayer/YSCCE041?u=EUNIz5WT2fZuddhkusing20173KEWOyDkGdL+Aiddhkusing2017LlKjLS2pHI80UgLh2lEXn9OFnY8ZCdyLESVvJdNGEOddhkusing2017ahWBZ2w8Hm+OxACm5DP3gT4WtvH1bWD9rPpw=" TargetMode="External"/><Relationship Id="rId392" Type="http://schemas.openxmlformats.org/officeDocument/2006/relationships/hyperlink" Target="https://media.mydiamonds.info/diamond-detail.aspx?r=YSCCE041&amp;u=EUNIz5WT2fZuddhkusing20173KEWOyDkGdL+Aiddhkusing2017LlKjLS2pHI80UgLh2lEXn9OFnY8ZCdyLESVvJdNGEOddhkusing2017ahWBZ2w8Hm+OxACm5DP3gT4WtvH1bWD9rPpw=&amp;source=From_Excelweb" TargetMode="External"/><Relationship Id="rId393" Type="http://schemas.openxmlformats.org/officeDocument/2006/relationships/hyperlink" Target="https://media.mydiamonds.info/certificate/YSCEG043?u=EUNIz5WT2fZuddhkusing20173KEWOyDkGdL+Aiddhkusing2017LlKjLS2pHI80UgLh2lEXn9OFnY8ZCdyLESVvJdNGEOddhkusing2017ahWBZ2w8Hm+OxACm5DP3gT4WtvH1bWD9rPpw=" TargetMode="External"/><Relationship Id="rId394" Type="http://schemas.openxmlformats.org/officeDocument/2006/relationships/hyperlink" Target="https://media.mydiamonds.info/hna/YSCEG043?u=EUNIz5WT2fZuddhkusing20173KEWOyDkGdL+Aiddhkusing2017LlKjLS2pHI80UgLh2lEXn9OFnY8ZCdyLESVvJdNGEOddhkusing2017ahWBZ2w8Hm+OxACm5DP3gT4WtvH1bWD9rPpw=" TargetMode="External"/><Relationship Id="rId395" Type="http://schemas.openxmlformats.org/officeDocument/2006/relationships/hyperlink" Target="https://media.mydiamonds.info/mplayer/YSCEG043?u=EUNIz5WT2fZuddhkusing20173KEWOyDkGdL+Aiddhkusing2017LlKjLS2pHI80UgLh2lEXn9OFnY8ZCdyLESVvJdNGEOddhkusing2017ahWBZ2w8Hm+OxACm5DP3gT4WtvH1bWD9rPpw=" TargetMode="External"/><Relationship Id="rId396" Type="http://schemas.openxmlformats.org/officeDocument/2006/relationships/hyperlink" Target="https://media.mydiamonds.info/diamond-detail.aspx?r=YSCEG043&amp;u=EUNIz5WT2fZuddhkusing20173KEWOyDkGdL+Aiddhkusing2017LlKjLS2pHI80UgLh2lEXn9OFnY8ZCdyLESVvJdNGEOddhkusing2017ahWBZ2w8Hm+OxACm5DP3gT4WtvH1bWD9rPpw=&amp;source=From_Excelweb" TargetMode="External"/><Relationship Id="rId397" Type="http://schemas.openxmlformats.org/officeDocument/2006/relationships/hyperlink" Target="https://media.mydiamonds.info/certificate/YPUS27004?u=EUNIz5WT2fZuddhkusing20173KEWOyDkGdL+Aiddhkusing2017LlKjLS2pHI80UgLh2lEXn9OFnY8ZCdyLESVvJdNGEOddhkusing2017ahWBZ2w8Hm+OxACm5DP3gT4WtvH1bWD9rPpw=" TargetMode="External"/><Relationship Id="rId398" Type="http://schemas.openxmlformats.org/officeDocument/2006/relationships/hyperlink" Target="https://media.mydiamonds.info/mplayer/YPUS27004?u=EUNIz5WT2fZuddhkusing20173KEWOyDkGdL+Aiddhkusing2017LlKjLS2pHI80UgLh2lEXn9OFnY8ZCdyLESVvJdNGEOddhkusing2017ahWBZ2w8Hm+OxACm5DP3gT4WtvH1bWD9rPpw=" TargetMode="External"/><Relationship Id="rId399" Type="http://schemas.openxmlformats.org/officeDocument/2006/relationships/hyperlink" Target="https://media.mydiamonds.info/diamond-detail.aspx?r=YPUS27004&amp;u=EUNIz5WT2fZuddhkusing20173KEWOyDkGdL+Aiddhkusing2017LlKjLS2pHI80UgLh2lEXn9OFnY8ZCdyLESVvJdNGEOddhkusing2017ahWBZ2w8Hm+OxACm5DP3gT4WtvH1bWD9rPpw=&amp;source=From_Excelweb" TargetMode="External"/><Relationship Id="rId400" Type="http://schemas.openxmlformats.org/officeDocument/2006/relationships/hyperlink" Target="https://media.mydiamonds.info/certificate/YSNQJ116?u=EUNIz5WT2fZuddhkusing20173KEWOyDkGdL+Aiddhkusing2017LlKjLS2pHI80UgLh2lEXn9OFnY8ZCdyLESVvJdNGEOddhkusing2017ahWBZ2w8Hm+OxACm5DP3gT4WtvH1bWD9rPpw=" TargetMode="External"/><Relationship Id="rId401" Type="http://schemas.openxmlformats.org/officeDocument/2006/relationships/hyperlink" Target="https://media.mydiamonds.info/mplayer/YSNQJ116?u=EUNIz5WT2fZuddhkusing20173KEWOyDkGdL+Aiddhkusing2017LlKjLS2pHI80UgLh2lEXn9OFnY8ZCdyLESVvJdNGEOddhkusing2017ahWBZ2w8Hm+OxACm5DP3gT4WtvH1bWD9rPpw=" TargetMode="External"/><Relationship Id="rId402" Type="http://schemas.openxmlformats.org/officeDocument/2006/relationships/hyperlink" Target="https://media.mydiamonds.info/diamond-detail.aspx?r=YSNQJ116&amp;u=EUNIz5WT2fZuddhkusing20173KEWOyDkGdL+Aiddhkusing2017LlKjLS2pHI80UgLh2lEXn9OFnY8ZCdyLESVvJdNGEOddhkusing2017ahWBZ2w8Hm+OxACm5DP3gT4WtvH1bWD9rPpw=&amp;source=From_Excelweb" TargetMode="External"/><Relationship Id="rId403" Type="http://schemas.openxmlformats.org/officeDocument/2006/relationships/hyperlink" Target="https://media.mydiamonds.info/certificate/YSCAY066?u=EUNIz5WT2fZuddhkusing20173KEWOyDkGdL+Aiddhkusing2017LlKjLS2pHI80UgLh2lEXn9OFnY8ZCdyLESVvJdNGEOddhkusing2017ahWBZ2w8Hm+OxACm5DP3gT4WtvH1bWD9rPpw=" TargetMode="External"/><Relationship Id="rId404" Type="http://schemas.openxmlformats.org/officeDocument/2006/relationships/hyperlink" Target="https://media.mydiamonds.info/mplayer/YSCAY066?u=EUNIz5WT2fZuddhkusing20173KEWOyDkGdL+Aiddhkusing2017LlKjLS2pHI80UgLh2lEXn9OFnY8ZCdyLESVvJdNGEOddhkusing2017ahWBZ2w8Hm+OxACm5DP3gT4WtvH1bWD9rPpw=" TargetMode="External"/><Relationship Id="rId405" Type="http://schemas.openxmlformats.org/officeDocument/2006/relationships/hyperlink" Target="https://media.mydiamonds.info/diamond-detail.aspx?r=YSCAY066&amp;u=EUNIz5WT2fZuddhkusing20173KEWOyDkGdL+Aiddhkusing2017LlKjLS2pHI80UgLh2lEXn9OFnY8ZCdyLESVvJdNGEOddhkusing2017ahWBZ2w8Hm+OxACm5DP3gT4WtvH1bWD9rPpw=&amp;source=From_Excelweb" TargetMode="External"/><Relationship Id="rId406" Type="http://schemas.openxmlformats.org/officeDocument/2006/relationships/hyperlink" Target="https://media.mydiamonds.info/certificate/YSCID004?u=EUNIz5WT2fZuddhkusing20173KEWOyDkGdL+Aiddhkusing2017LlKjLS2pHI80UgLh2lEXn9OFnY8ZCdyLESVvJdNGEOddhkusing2017ahWBZ2w8Hm+OxACm5DP3gT4WtvH1bWD9rPpw=" TargetMode="External"/><Relationship Id="rId407" Type="http://schemas.openxmlformats.org/officeDocument/2006/relationships/hyperlink" Target="https://media.mydiamonds.info/hna/YSCID004?u=EUNIz5WT2fZuddhkusing20173KEWOyDkGdL+Aiddhkusing2017LlKjLS2pHI80UgLh2lEXn9OFnY8ZCdyLESVvJdNGEOddhkusing2017ahWBZ2w8Hm+OxACm5DP3gT4WtvH1bWD9rPpw=" TargetMode="External"/><Relationship Id="rId408" Type="http://schemas.openxmlformats.org/officeDocument/2006/relationships/hyperlink" Target="https://media.mydiamonds.info/mplayer/YSCID004?u=EUNIz5WT2fZuddhkusing20173KEWOyDkGdL+Aiddhkusing2017LlKjLS2pHI80UgLh2lEXn9OFnY8ZCdyLESVvJdNGEOddhkusing2017ahWBZ2w8Hm+OxACm5DP3gT4WtvH1bWD9rPpw=" TargetMode="External"/><Relationship Id="rId409" Type="http://schemas.openxmlformats.org/officeDocument/2006/relationships/hyperlink" Target="https://media.mydiamonds.info/diamond-detail.aspx?r=YSCID004&amp;u=EUNIz5WT2fZuddhkusing20173KEWOyDkGdL+Aiddhkusing2017LlKjLS2pHI80UgLh2lEXn9OFnY8ZCdyLESVvJdNGEOddhkusing2017ahWBZ2w8Hm+OxACm5DP3gT4WtvH1bWD9rPpw=&amp;source=From_Excelweb" TargetMode="External"/><Relationship Id="rId410" Type="http://schemas.openxmlformats.org/officeDocument/2006/relationships/hyperlink" Target="https://media.mydiamonds.info/certificate/YSNLX129?u=EUNIz5WT2fZuddhkusing20173KEWOyDkGdL+Aiddhkusing2017LlKjLS2pHI80UgLh2lEXn9OFnY8ZCdyLESVvJdNGEOddhkusing2017ahWBZ2w8Hm+OxACm5DP3gT4WtvH1bWD9rPpw=" TargetMode="External"/><Relationship Id="rId411" Type="http://schemas.openxmlformats.org/officeDocument/2006/relationships/hyperlink" Target="https://media.mydiamonds.info/mplayer/YSNLX129?u=EUNIz5WT2fZuddhkusing20173KEWOyDkGdL+Aiddhkusing2017LlKjLS2pHI80UgLh2lEXn9OFnY8ZCdyLESVvJdNGEOddhkusing2017ahWBZ2w8Hm+OxACm5DP3gT4WtvH1bWD9rPpw=" TargetMode="External"/><Relationship Id="rId412" Type="http://schemas.openxmlformats.org/officeDocument/2006/relationships/hyperlink" Target="https://media.mydiamonds.info/diamond-detail.aspx?r=YSNLX129&amp;u=EUNIz5WT2fZuddhkusing20173KEWOyDkGdL+Aiddhkusing2017LlKjLS2pHI80UgLh2lEXn9OFnY8ZCdyLESVvJdNGEOddhkusing2017ahWBZ2w8Hm+OxACm5DP3gT4WtvH1bWD9rPpw=&amp;source=From_Excelweb" TargetMode="External"/><Relationship Id="rId413" Type="http://schemas.openxmlformats.org/officeDocument/2006/relationships/hyperlink" Target="https://media.mydiamonds.info/certificate/YSNNM392?u=EUNIz5WT2fZuddhkusing20173KEWOyDkGdL+Aiddhkusing2017LlKjLS2pHI80UgLh2lEXn9OFnY8ZCdyLESVvJdNGEOddhkusing2017ahWBZ2w8Hm+OxACm5DP3gT4WtvH1bWD9rPpw=" TargetMode="External"/><Relationship Id="rId414" Type="http://schemas.openxmlformats.org/officeDocument/2006/relationships/hyperlink" Target="https://media.mydiamonds.info/mplayer/YSNNM392?u=EUNIz5WT2fZuddhkusing20173KEWOyDkGdL+Aiddhkusing2017LlKjLS2pHI80UgLh2lEXn9OFnY8ZCdyLESVvJdNGEOddhkusing2017ahWBZ2w8Hm+OxACm5DP3gT4WtvH1bWD9rPpw=" TargetMode="External"/><Relationship Id="rId415" Type="http://schemas.openxmlformats.org/officeDocument/2006/relationships/hyperlink" Target="https://media.mydiamonds.info/diamond-detail.aspx?r=YSNNM392&amp;u=EUNIz5WT2fZuddhkusing20173KEWOyDkGdL+Aiddhkusing2017LlKjLS2pHI80UgLh2lEXn9OFnY8ZCdyLESVvJdNGEOddhkusing2017ahWBZ2w8Hm+OxACm5DP3gT4WtvH1bWD9rPpw=&amp;source=From_Excelweb" TargetMode="External"/><Relationship Id="rId416" Type="http://schemas.openxmlformats.org/officeDocument/2006/relationships/hyperlink" Target="https://media.mydiamonds.info/certificate/YSNRO115?u=EUNIz5WT2fZuddhkusing20173KEWOyDkGdL+Aiddhkusing2017LlKjLS2pHI80UgLh2lEXn9OFnY8ZCdyLESVvJdNGEOddhkusing2017ahWBZ2w8Hm+OxACm5DP3gT4WtvH1bWD9rPpw=" TargetMode="External"/><Relationship Id="rId417" Type="http://schemas.openxmlformats.org/officeDocument/2006/relationships/hyperlink" Target="https://media.mydiamonds.info/mplayer/YSNRO115?u=EUNIz5WT2fZuddhkusing20173KEWOyDkGdL+Aiddhkusing2017LlKjLS2pHI80UgLh2lEXn9OFnY8ZCdyLESVvJdNGEOddhkusing2017ahWBZ2w8Hm+OxACm5DP3gT4WtvH1bWD9rPpw=" TargetMode="External"/><Relationship Id="rId418" Type="http://schemas.openxmlformats.org/officeDocument/2006/relationships/hyperlink" Target="https://media.mydiamonds.info/diamond-detail.aspx?r=YSNRO115&amp;u=EUNIz5WT2fZuddhkusing20173KEWOyDkGdL+Aiddhkusing2017LlKjLS2pHI80UgLh2lEXn9OFnY8ZCdyLESVvJdNGEOddhkusing2017ahWBZ2w8Hm+OxACm5DP3gT4WtvH1bWD9rPpw=&amp;source=From_Excelweb" TargetMode="External"/><Relationship Id="rId419" Type="http://schemas.openxmlformats.org/officeDocument/2006/relationships/hyperlink" Target="https://media.mydiamonds.info/certificate/YSCGX068?u=EUNIz5WT2fZuddhkusing20173KEWOyDkGdL+Aiddhkusing2017LlKjLS2pHI80UgLh2lEXn9OFnY8ZCdyLESVvJdNGEOddhkusing2017ahWBZ2w8Hm+OxACm5DP3gT4WtvH1bWD9rPpw=" TargetMode="External"/><Relationship Id="rId420" Type="http://schemas.openxmlformats.org/officeDocument/2006/relationships/hyperlink" Target="https://media.mydiamonds.info/mplayer/YSCGX068?u=EUNIz5WT2fZuddhkusing20173KEWOyDkGdL+Aiddhkusing2017LlKjLS2pHI80UgLh2lEXn9OFnY8ZCdyLESVvJdNGEOddhkusing2017ahWBZ2w8Hm+OxACm5DP3gT4WtvH1bWD9rPpw=" TargetMode="External"/><Relationship Id="rId421" Type="http://schemas.openxmlformats.org/officeDocument/2006/relationships/hyperlink" Target="https://media.mydiamonds.info/diamond-detail.aspx?r=YSCGX068&amp;u=EUNIz5WT2fZuddhkusing20173KEWOyDkGdL+Aiddhkusing2017LlKjLS2pHI80UgLh2lEXn9OFnY8ZCdyLESVvJdNGEOddhkusing2017ahWBZ2w8Hm+OxACm5DP3gT4WtvH1bWD9rPpw=&amp;source=From_Excelweb" TargetMode="External"/><Relationship Id="rId422" Type="http://schemas.openxmlformats.org/officeDocument/2006/relationships/hyperlink" Target="https://media.mydiamonds.info/certificate/YSCBU056?u=EUNIz5WT2fZuddhkusing20173KEWOyDkGdL+Aiddhkusing2017LlKjLS2pHI80UgLh2lEXn9OFnY8ZCdyLESVvJdNGEOddhkusing2017ahWBZ2w8Hm+OxACm5DP3gT4WtvH1bWD9rPpw=" TargetMode="External"/><Relationship Id="rId423" Type="http://schemas.openxmlformats.org/officeDocument/2006/relationships/hyperlink" Target="https://media.mydiamonds.info/hna/YSCBU056?u=EUNIz5WT2fZuddhkusing20173KEWOyDkGdL+Aiddhkusing2017LlKjLS2pHI80UgLh2lEXn9OFnY8ZCdyLESVvJdNGEOddhkusing2017ahWBZ2w8Hm+OxACm5DP3gT4WtvH1bWD9rPpw=" TargetMode="External"/><Relationship Id="rId424" Type="http://schemas.openxmlformats.org/officeDocument/2006/relationships/hyperlink" Target="https://media.mydiamonds.info/mplayer/YSCBU056?u=EUNIz5WT2fZuddhkusing20173KEWOyDkGdL+Aiddhkusing2017LlKjLS2pHI80UgLh2lEXn9OFnY8ZCdyLESVvJdNGEOddhkusing2017ahWBZ2w8Hm+OxACm5DP3gT4WtvH1bWD9rPpw=" TargetMode="External"/><Relationship Id="rId425" Type="http://schemas.openxmlformats.org/officeDocument/2006/relationships/hyperlink" Target="https://media.mydiamonds.info/diamond-detail.aspx?r=YSCBU056&amp;u=EUNIz5WT2fZuddhkusing20173KEWOyDkGdL+Aiddhkusing2017LlKjLS2pHI80UgLh2lEXn9OFnY8ZCdyLESVvJdNGEOddhkusing2017ahWBZ2w8Hm+OxACm5DP3gT4WtvH1bWD9rPpw=&amp;source=From_Excelweb" TargetMode="External"/><Relationship Id="rId426" Type="http://schemas.openxmlformats.org/officeDocument/2006/relationships/hyperlink" Target="https://media.mydiamonds.info/certificate/YSCHL029?u=EUNIz5WT2fZuddhkusing20173KEWOyDkGdL+Aiddhkusing2017LlKjLS2pHI80UgLh2lEXn9OFnY8ZCdyLESVvJdNGEOddhkusing2017ahWBZ2w8Hm+OxACm5DP3gT4WtvH1bWD9rPpw=" TargetMode="External"/><Relationship Id="rId427" Type="http://schemas.openxmlformats.org/officeDocument/2006/relationships/hyperlink" Target="https://media.mydiamonds.info/mplayer/YSCHL029?u=EUNIz5WT2fZuddhkusing20173KEWOyDkGdL+Aiddhkusing2017LlKjLS2pHI80UgLh2lEXn9OFnY8ZCdyLESVvJdNGEOddhkusing2017ahWBZ2w8Hm+OxACm5DP3gT4WtvH1bWD9rPpw=" TargetMode="External"/><Relationship Id="rId428" Type="http://schemas.openxmlformats.org/officeDocument/2006/relationships/hyperlink" Target="https://media.mydiamonds.info/diamond-detail.aspx?r=YSCHL029&amp;u=EUNIz5WT2fZuddhkusing20173KEWOyDkGdL+Aiddhkusing2017LlKjLS2pHI80UgLh2lEXn9OFnY8ZCdyLESVvJdNGEOddhkusing2017ahWBZ2w8Hm+OxACm5DP3gT4WtvH1bWD9rPpw=&amp;source=From_Excelweb" TargetMode="External"/><Relationship Id="rId429" Type="http://schemas.openxmlformats.org/officeDocument/2006/relationships/hyperlink" Target="https://media.mydiamonds.info/certificate/YSBZP353?u=EUNIz5WT2fZuddhkusing20173KEWOyDkGdL+Aiddhkusing2017LlKjLS2pHI80UgLh2lEXn9OFnY8ZCdyLESVvJdNGEOddhkusing2017ahWBZ2w8Hm+OxACm5DP3gT4WtvH1bWD9rPpw=" TargetMode="External"/><Relationship Id="rId430" Type="http://schemas.openxmlformats.org/officeDocument/2006/relationships/hyperlink" Target="https://media.mydiamonds.info/hna/YSBZP353?u=EUNIz5WT2fZuddhkusing20173KEWOyDkGdL+Aiddhkusing2017LlKjLS2pHI80UgLh2lEXn9OFnY8ZCdyLESVvJdNGEOddhkusing2017ahWBZ2w8Hm+OxACm5DP3gT4WtvH1bWD9rPpw=" TargetMode="External"/><Relationship Id="rId431" Type="http://schemas.openxmlformats.org/officeDocument/2006/relationships/hyperlink" Target="https://media.mydiamonds.info/mplayer/YSBZP353?u=EUNIz5WT2fZuddhkusing20173KEWOyDkGdL+Aiddhkusing2017LlKjLS2pHI80UgLh2lEXn9OFnY8ZCdyLESVvJdNGEOddhkusing2017ahWBZ2w8Hm+OxACm5DP3gT4WtvH1bWD9rPpw=" TargetMode="External"/><Relationship Id="rId432" Type="http://schemas.openxmlformats.org/officeDocument/2006/relationships/hyperlink" Target="https://media.mydiamonds.info/diamond-detail.aspx?r=YSBZP353&amp;u=EUNIz5WT2fZuddhkusing20173KEWOyDkGdL+Aiddhkusing2017LlKjLS2pHI80UgLh2lEXn9OFnY8ZCdyLESVvJdNGEOddhkusing2017ahWBZ2w8Hm+OxACm5DP3gT4WtvH1bWD9rPpw=&amp;source=From_Excelweb" TargetMode="External"/><Relationship Id="rId433" Type="http://schemas.openxmlformats.org/officeDocument/2006/relationships/hyperlink" Target="https://media.mydiamonds.info/certificate/YSNRK129?u=EUNIz5WT2fZuddhkusing20173KEWOyDkGdL+Aiddhkusing2017LlKjLS2pHI80UgLh2lEXn9OFnY8ZCdyLESVvJdNGEOddhkusing2017ahWBZ2w8Hm+OxACm5DP3gT4WtvH1bWD9rPpw=" TargetMode="External"/><Relationship Id="rId434" Type="http://schemas.openxmlformats.org/officeDocument/2006/relationships/hyperlink" Target="https://media.mydiamonds.info/mplayer/YSNRK129?u=EUNIz5WT2fZuddhkusing20173KEWOyDkGdL+Aiddhkusing2017LlKjLS2pHI80UgLh2lEXn9OFnY8ZCdyLESVvJdNGEOddhkusing2017ahWBZ2w8Hm+OxACm5DP3gT4WtvH1bWD9rPpw=" TargetMode="External"/><Relationship Id="rId435" Type="http://schemas.openxmlformats.org/officeDocument/2006/relationships/hyperlink" Target="https://media.mydiamonds.info/diamond-detail.aspx?r=YSNRK129&amp;u=EUNIz5WT2fZuddhkusing20173KEWOyDkGdL+Aiddhkusing2017LlKjLS2pHI80UgLh2lEXn9OFnY8ZCdyLESVvJdNGEOddhkusing2017ahWBZ2w8Hm+OxACm5DP3gT4WtvH1bWD9rPpw=&amp;source=From_Excelweb" TargetMode="External"/><Relationship Id="rId436" Type="http://schemas.openxmlformats.org/officeDocument/2006/relationships/hyperlink" Target="https://media.mydiamonds.info/certificate/YSBZP078?u=EUNIz5WT2fZuddhkusing20173KEWOyDkGdL+Aiddhkusing2017LlKjLS2pHI80UgLh2lEXn9OFnY8ZCdyLESVvJdNGEOddhkusing2017ahWBZ2w8Hm+OxACm5DP3gT4WtvH1bWD9rPpw=" TargetMode="External"/><Relationship Id="rId437" Type="http://schemas.openxmlformats.org/officeDocument/2006/relationships/hyperlink" Target="https://media.mydiamonds.info/hna/YSBZP078?u=EUNIz5WT2fZuddhkusing20173KEWOyDkGdL+Aiddhkusing2017LlKjLS2pHI80UgLh2lEXn9OFnY8ZCdyLESVvJdNGEOddhkusing2017ahWBZ2w8Hm+OxACm5DP3gT4WtvH1bWD9rPpw=" TargetMode="External"/><Relationship Id="rId438" Type="http://schemas.openxmlformats.org/officeDocument/2006/relationships/hyperlink" Target="https://media.mydiamonds.info/mplayer/YSBZP078?u=EUNIz5WT2fZuddhkusing20173KEWOyDkGdL+Aiddhkusing2017LlKjLS2pHI80UgLh2lEXn9OFnY8ZCdyLESVvJdNGEOddhkusing2017ahWBZ2w8Hm+OxACm5DP3gT4WtvH1bWD9rPpw=" TargetMode="External"/><Relationship Id="rId439" Type="http://schemas.openxmlformats.org/officeDocument/2006/relationships/hyperlink" Target="https://media.mydiamonds.info/diamond-detail.aspx?r=YSBZP078&amp;u=EUNIz5WT2fZuddhkusing20173KEWOyDkGdL+Aiddhkusing2017LlKjLS2pHI80UgLh2lEXn9OFnY8ZCdyLESVvJdNGEOddhkusing2017ahWBZ2w8Hm+OxACm5DP3gT4WtvH1bWD9rPpw=&amp;source=From_Excelweb" TargetMode="External"/><Relationship Id="rId440" Type="http://schemas.openxmlformats.org/officeDocument/2006/relationships/hyperlink" Target="https://media.mydiamonds.info/certificate/YSNOO343?u=EUNIz5WT2fZuddhkusing20173KEWOyDkGdL+Aiddhkusing2017LlKjLS2pHI80UgLh2lEXn9OFnY8ZCdyLESVvJdNGEOddhkusing2017ahWBZ2w8Hm+OxACm5DP3gT4WtvH1bWD9rPpw=" TargetMode="External"/><Relationship Id="rId441" Type="http://schemas.openxmlformats.org/officeDocument/2006/relationships/hyperlink" Target="https://media.mydiamonds.info/mplayer/YSNOO343?u=EUNIz5WT2fZuddhkusing20173KEWOyDkGdL+Aiddhkusing2017LlKjLS2pHI80UgLh2lEXn9OFnY8ZCdyLESVvJdNGEOddhkusing2017ahWBZ2w8Hm+OxACm5DP3gT4WtvH1bWD9rPpw=" TargetMode="External"/><Relationship Id="rId442" Type="http://schemas.openxmlformats.org/officeDocument/2006/relationships/hyperlink" Target="https://media.mydiamonds.info/diamond-detail.aspx?r=YSNOO343&amp;u=EUNIz5WT2fZuddhkusing20173KEWOyDkGdL+Aiddhkusing2017LlKjLS2pHI80UgLh2lEXn9OFnY8ZCdyLESVvJdNGEOddhkusing2017ahWBZ2w8Hm+OxACm5DP3gT4WtvH1bWD9rPpw=&amp;source=From_Excelweb" TargetMode="External"/><Relationship Id="rId443" Type="http://schemas.openxmlformats.org/officeDocument/2006/relationships/hyperlink" Target="https://media.mydiamonds.info/certificate/YSCFB044?u=EUNIz5WT2fZuddhkusing20173KEWOyDkGdL+Aiddhkusing2017LlKjLS2pHI80UgLh2lEXn9OFnY8ZCdyLESVvJdNGEOddhkusing2017ahWBZ2w8Hm+OxACm5DP3gT4WtvH1bWD9rPpw=" TargetMode="External"/><Relationship Id="rId444" Type="http://schemas.openxmlformats.org/officeDocument/2006/relationships/hyperlink" Target="https://media.mydiamonds.info/mplayer/YSCFB044?u=EUNIz5WT2fZuddhkusing20173KEWOyDkGdL+Aiddhkusing2017LlKjLS2pHI80UgLh2lEXn9OFnY8ZCdyLESVvJdNGEOddhkusing2017ahWBZ2w8Hm+OxACm5DP3gT4WtvH1bWD9rPpw=" TargetMode="External"/><Relationship Id="rId445" Type="http://schemas.openxmlformats.org/officeDocument/2006/relationships/hyperlink" Target="https://media.mydiamonds.info/diamond-detail.aspx?r=YSCFB044&amp;u=EUNIz5WT2fZuddhkusing20173KEWOyDkGdL+Aiddhkusing2017LlKjLS2pHI80UgLh2lEXn9OFnY8ZCdyLESVvJdNGEOddhkusing2017ahWBZ2w8Hm+OxACm5DP3gT4WtvH1bWD9rPpw=&amp;source=From_Excelweb" TargetMode="External"/><Relationship Id="rId446" Type="http://schemas.openxmlformats.org/officeDocument/2006/relationships/hyperlink" Target="https://media.mydiamonds.info/certificate/YSCGQ098?u=EUNIz5WT2fZuddhkusing20173KEWOyDkGdL+Aiddhkusing2017LlKjLS2pHI80UgLh2lEXn9OFnY8ZCdyLESVvJdNGEOddhkusing2017ahWBZ2w8Hm+OxACm5DP3gT4WtvH1bWD9rPpw=" TargetMode="External"/><Relationship Id="rId447" Type="http://schemas.openxmlformats.org/officeDocument/2006/relationships/hyperlink" Target="https://media.mydiamonds.info/mplayer/YSCGQ098?u=EUNIz5WT2fZuddhkusing20173KEWOyDkGdL+Aiddhkusing2017LlKjLS2pHI80UgLh2lEXn9OFnY8ZCdyLESVvJdNGEOddhkusing2017ahWBZ2w8Hm+OxACm5DP3gT4WtvH1bWD9rPpw=" TargetMode="External"/><Relationship Id="rId448" Type="http://schemas.openxmlformats.org/officeDocument/2006/relationships/hyperlink" Target="https://media.mydiamonds.info/diamond-detail.aspx?r=YSCGQ098&amp;u=EUNIz5WT2fZuddhkusing20173KEWOyDkGdL+Aiddhkusing2017LlKjLS2pHI80UgLh2lEXn9OFnY8ZCdyLESVvJdNGEOddhkusing2017ahWBZ2w8Hm+OxACm5DP3gT4WtvH1bWD9rPpw=&amp;source=From_Excelweb" TargetMode="External"/><Relationship Id="rId449" Type="http://schemas.openxmlformats.org/officeDocument/2006/relationships/hyperlink" Target="https://media.mydiamonds.info/certificate/YSCDO051?u=EUNIz5WT2fZuddhkusing20173KEWOyDkGdL+Aiddhkusing2017LlKjLS2pHI80UgLh2lEXn9OFnY8ZCdyLESVvJdNGEOddhkusing2017ahWBZ2w8Hm+OxACm5DP3gT4WtvH1bWD9rPpw=" TargetMode="External"/><Relationship Id="rId450" Type="http://schemas.openxmlformats.org/officeDocument/2006/relationships/hyperlink" Target="https://media.mydiamonds.info/mplayer/YSCDO051?u=EUNIz5WT2fZuddhkusing20173KEWOyDkGdL+Aiddhkusing2017LlKjLS2pHI80UgLh2lEXn9OFnY8ZCdyLESVvJdNGEOddhkusing2017ahWBZ2w8Hm+OxACm5DP3gT4WtvH1bWD9rPpw=" TargetMode="External"/><Relationship Id="rId451" Type="http://schemas.openxmlformats.org/officeDocument/2006/relationships/hyperlink" Target="https://media.mydiamonds.info/diamond-detail.aspx?r=YSCDO051&amp;u=EUNIz5WT2fZuddhkusing20173KEWOyDkGdL+Aiddhkusing2017LlKjLS2pHI80UgLh2lEXn9OFnY8ZCdyLESVvJdNGEOddhkusing2017ahWBZ2w8Hm+OxACm5DP3gT4WtvH1bWD9rPpw=&amp;source=From_Excelweb" TargetMode="External"/><Relationship Id="rId452" Type="http://schemas.openxmlformats.org/officeDocument/2006/relationships/hyperlink" Target="https://media.mydiamonds.info/certificate/YSNRO175?u=EUNIz5WT2fZuddhkusing20173KEWOyDkGdL+Aiddhkusing2017LlKjLS2pHI80UgLh2lEXn9OFnY8ZCdyLESVvJdNGEOddhkusing2017ahWBZ2w8Hm+OxACm5DP3gT4WtvH1bWD9rPpw=" TargetMode="External"/><Relationship Id="rId453" Type="http://schemas.openxmlformats.org/officeDocument/2006/relationships/hyperlink" Target="https://media.mydiamonds.info/mplayer/YSNRO175?u=EUNIz5WT2fZuddhkusing20173KEWOyDkGdL+Aiddhkusing2017LlKjLS2pHI80UgLh2lEXn9OFnY8ZCdyLESVvJdNGEOddhkusing2017ahWBZ2w8Hm+OxACm5DP3gT4WtvH1bWD9rPpw=" TargetMode="External"/><Relationship Id="rId454" Type="http://schemas.openxmlformats.org/officeDocument/2006/relationships/hyperlink" Target="https://media.mydiamonds.info/diamond-detail.aspx?r=YSNRO175&amp;u=EUNIz5WT2fZuddhkusing20173KEWOyDkGdL+Aiddhkusing2017LlKjLS2pHI80UgLh2lEXn9OFnY8ZCdyLESVvJdNGEOddhkusing2017ahWBZ2w8Hm+OxACm5DP3gT4WtvH1bWD9rPpw=&amp;source=From_Excelweb" TargetMode="External"/><Relationship Id="rId455" Type="http://schemas.openxmlformats.org/officeDocument/2006/relationships/hyperlink" Target="https://media.mydiamonds.info/certificate/YSCDN016?u=EUNIz5WT2fZuddhkusing20173KEWOyDkGdL+Aiddhkusing2017LlKjLS2pHI80UgLh2lEXn9OFnY8ZCdyLESVvJdNGEOddhkusing2017ahWBZ2w8Hm+OxACm5DP3gT4WtvH1bWD9rPpw=" TargetMode="External"/><Relationship Id="rId456" Type="http://schemas.openxmlformats.org/officeDocument/2006/relationships/hyperlink" Target="https://media.mydiamonds.info/mplayer/YSCDN016?u=EUNIz5WT2fZuddhkusing20173KEWOyDkGdL+Aiddhkusing2017LlKjLS2pHI80UgLh2lEXn9OFnY8ZCdyLESVvJdNGEOddhkusing2017ahWBZ2w8Hm+OxACm5DP3gT4WtvH1bWD9rPpw=" TargetMode="External"/><Relationship Id="rId457" Type="http://schemas.openxmlformats.org/officeDocument/2006/relationships/hyperlink" Target="https://media.mydiamonds.info/diamond-detail.aspx?r=YSCDN016&amp;u=EUNIz5WT2fZuddhkusing20173KEWOyDkGdL+Aiddhkusing2017LlKjLS2pHI80UgLh2lEXn9OFnY8ZCdyLESVvJdNGEOddhkusing2017ahWBZ2w8Hm+OxACm5DP3gT4WtvH1bWD9rPpw=&amp;source=From_Excelweb" TargetMode="External"/><Relationship Id="rId458" Type="http://schemas.openxmlformats.org/officeDocument/2006/relationships/hyperlink" Target="https://media.mydiamonds.info/certificate/YSCIT012?u=EUNIz5WT2fZuddhkusing20173KEWOyDkGdL+Aiddhkusing2017LlKjLS2pHI80UgLh2lEXn9OFnY8ZCdyLESVvJdNGEOddhkusing2017ahWBZ2w8Hm+OxACm5DP3gT4WtvH1bWD9rPpw=" TargetMode="External"/><Relationship Id="rId459" Type="http://schemas.openxmlformats.org/officeDocument/2006/relationships/hyperlink" Target="https://media.mydiamonds.info/hna/YSCIT012?u=EUNIz5WT2fZuddhkusing20173KEWOyDkGdL+Aiddhkusing2017LlKjLS2pHI80UgLh2lEXn9OFnY8ZCdyLESVvJdNGEOddhkusing2017ahWBZ2w8Hm+OxACm5DP3gT4WtvH1bWD9rPpw=" TargetMode="External"/><Relationship Id="rId460" Type="http://schemas.openxmlformats.org/officeDocument/2006/relationships/hyperlink" Target="https://media.mydiamonds.info/mplayer/YSCIT012?u=EUNIz5WT2fZuddhkusing20173KEWOyDkGdL+Aiddhkusing2017LlKjLS2pHI80UgLh2lEXn9OFnY8ZCdyLESVvJdNGEOddhkusing2017ahWBZ2w8Hm+OxACm5DP3gT4WtvH1bWD9rPpw=" TargetMode="External"/><Relationship Id="rId461" Type="http://schemas.openxmlformats.org/officeDocument/2006/relationships/hyperlink" Target="https://media.mydiamonds.info/diamond-detail.aspx?r=YSCIT012&amp;u=EUNIz5WT2fZuddhkusing20173KEWOyDkGdL+Aiddhkusing2017LlKjLS2pHI80UgLh2lEXn9OFnY8ZCdyLESVvJdNGEOddhkusing2017ahWBZ2w8Hm+OxACm5DP3gT4WtvH1bWD9rPpw=&amp;source=From_Excelweb" TargetMode="External"/><Relationship Id="rId462" Type="http://schemas.openxmlformats.org/officeDocument/2006/relationships/hyperlink" Target="https://media.mydiamonds.info/certificate/YSNQB147?u=EUNIz5WT2fZuddhkusing20173KEWOyDkGdL+Aiddhkusing2017LlKjLS2pHI80UgLh2lEXn9OFnY8ZCdyLESVvJdNGEOddhkusing2017ahWBZ2w8Hm+OxACm5DP3gT4WtvH1bWD9rPpw=" TargetMode="External"/><Relationship Id="rId463" Type="http://schemas.openxmlformats.org/officeDocument/2006/relationships/hyperlink" Target="https://media.mydiamonds.info/hna/YSNQB147?u=EUNIz5WT2fZuddhkusing20173KEWOyDkGdL+Aiddhkusing2017LlKjLS2pHI80UgLh2lEXn9OFnY8ZCdyLESVvJdNGEOddhkusing2017ahWBZ2w8Hm+OxACm5DP3gT4WtvH1bWD9rPpw=" TargetMode="External"/><Relationship Id="rId464" Type="http://schemas.openxmlformats.org/officeDocument/2006/relationships/hyperlink" Target="https://media.mydiamonds.info/mplayer/YSNQB147?u=EUNIz5WT2fZuddhkusing20173KEWOyDkGdL+Aiddhkusing2017LlKjLS2pHI80UgLh2lEXn9OFnY8ZCdyLESVvJdNGEOddhkusing2017ahWBZ2w8Hm+OxACm5DP3gT4WtvH1bWD9rPpw=" TargetMode="External"/><Relationship Id="rId465" Type="http://schemas.openxmlformats.org/officeDocument/2006/relationships/hyperlink" Target="https://media.mydiamonds.info/diamond-detail.aspx?r=YSNQB147&amp;u=EUNIz5WT2fZuddhkusing20173KEWOyDkGdL+Aiddhkusing2017LlKjLS2pHI80UgLh2lEXn9OFnY8ZCdyLESVvJdNGEOddhkusing2017ahWBZ2w8Hm+OxACm5DP3gT4WtvH1bWD9rPpw=&amp;source=From_Excelweb" TargetMode="External"/><Relationship Id="rId466" Type="http://schemas.openxmlformats.org/officeDocument/2006/relationships/hyperlink" Target="https://media.mydiamonds.info/certificate/YSMGX058?u=EUNIz5WT2fZuddhkusing20173KEWOyDkGdL+Aiddhkusing2017LlKjLS2pHI80UgLh2lEXn9OFnY8ZCdyLESVvJdNGEOddhkusing2017ahWBZ2w8Hm+OxACm5DP3gT4WtvH1bWD9rPpw=" TargetMode="External"/><Relationship Id="rId467" Type="http://schemas.openxmlformats.org/officeDocument/2006/relationships/hyperlink" Target="https://media.mydiamonds.info/mplayer/YSMGX058?u=EUNIz5WT2fZuddhkusing20173KEWOyDkGdL+Aiddhkusing2017LlKjLS2pHI80UgLh2lEXn9OFnY8ZCdyLESVvJdNGEOddhkusing2017ahWBZ2w8Hm+OxACm5DP3gT4WtvH1bWD9rPpw=" TargetMode="External"/><Relationship Id="rId468" Type="http://schemas.openxmlformats.org/officeDocument/2006/relationships/hyperlink" Target="https://media.mydiamonds.info/diamond-detail.aspx?r=YSMGX058&amp;u=EUNIz5WT2fZuddhkusing20173KEWOyDkGdL+Aiddhkusing2017LlKjLS2pHI80UgLh2lEXn9OFnY8ZCdyLESVvJdNGEOddhkusing2017ahWBZ2w8Hm+OxACm5DP3gT4WtvH1bWD9rPpw=&amp;source=From_Excelweb" TargetMode="External"/><Relationship Id="rId469" Type="http://schemas.openxmlformats.org/officeDocument/2006/relationships/hyperlink" Target="https://media.mydiamonds.info/certificate/YSNME195?u=EUNIz5WT2fZuddhkusing20173KEWOyDkGdL+Aiddhkusing2017LlKjLS2pHI80UgLh2lEXn9OFnY8ZCdyLESVvJdNGEOddhkusing2017ahWBZ2w8Hm+OxACm5DP3gT4WtvH1bWD9rPpw=" TargetMode="External"/><Relationship Id="rId470" Type="http://schemas.openxmlformats.org/officeDocument/2006/relationships/hyperlink" Target="https://media.mydiamonds.info/hna/YSNME195?u=EUNIz5WT2fZuddhkusing20173KEWOyDkGdL+Aiddhkusing2017LlKjLS2pHI80UgLh2lEXn9OFnY8ZCdyLESVvJdNGEOddhkusing2017ahWBZ2w8Hm+OxACm5DP3gT4WtvH1bWD9rPpw=" TargetMode="External"/><Relationship Id="rId471" Type="http://schemas.openxmlformats.org/officeDocument/2006/relationships/hyperlink" Target="https://media.mydiamonds.info/mplayer/YSNME195?u=EUNIz5WT2fZuddhkusing20173KEWOyDkGdL+Aiddhkusing2017LlKjLS2pHI80UgLh2lEXn9OFnY8ZCdyLESVvJdNGEOddhkusing2017ahWBZ2w8Hm+OxACm5DP3gT4WtvH1bWD9rPpw=" TargetMode="External"/><Relationship Id="rId472" Type="http://schemas.openxmlformats.org/officeDocument/2006/relationships/hyperlink" Target="https://media.mydiamonds.info/diamond-detail.aspx?r=YSNME195&amp;u=EUNIz5WT2fZuddhkusing20173KEWOyDkGdL+Aiddhkusing2017LlKjLS2pHI80UgLh2lEXn9OFnY8ZCdyLESVvJdNGEOddhkusing2017ahWBZ2w8Hm+OxACm5DP3gT4WtvH1bWD9rPpw=&amp;source=From_Excelweb" TargetMode="External"/><Relationship Id="rId473" Type="http://schemas.openxmlformats.org/officeDocument/2006/relationships/hyperlink" Target="https://media.mydiamonds.info/certificate/YSNKC024?u=EUNIz5WT2fZuddhkusing20173KEWOyDkGdL+Aiddhkusing2017LlKjLS2pHI80UgLh2lEXn9OFnY8ZCdyLESVvJdNGEOddhkusing2017ahWBZ2w8Hm+OxACm5DP3gT4WtvH1bWD9rPpw=" TargetMode="External"/><Relationship Id="rId474" Type="http://schemas.openxmlformats.org/officeDocument/2006/relationships/hyperlink" Target="https://media.mydiamonds.info/hna/YSNKC024?u=EUNIz5WT2fZuddhkusing20173KEWOyDkGdL+Aiddhkusing2017LlKjLS2pHI80UgLh2lEXn9OFnY8ZCdyLESVvJdNGEOddhkusing2017ahWBZ2w8Hm+OxACm5DP3gT4WtvH1bWD9rPpw=" TargetMode="External"/><Relationship Id="rId475" Type="http://schemas.openxmlformats.org/officeDocument/2006/relationships/hyperlink" Target="https://media.mydiamonds.info/mplayer/YSNKC024?u=EUNIz5WT2fZuddhkusing20173KEWOyDkGdL+Aiddhkusing2017LlKjLS2pHI80UgLh2lEXn9OFnY8ZCdyLESVvJdNGEOddhkusing2017ahWBZ2w8Hm+OxACm5DP3gT4WtvH1bWD9rPpw=" TargetMode="External"/><Relationship Id="rId476" Type="http://schemas.openxmlformats.org/officeDocument/2006/relationships/hyperlink" Target="https://media.mydiamonds.info/diamond-detail.aspx?r=YSNKC024&amp;u=EUNIz5WT2fZuddhkusing20173KEWOyDkGdL+Aiddhkusing2017LlKjLS2pHI80UgLh2lEXn9OFnY8ZCdyLESVvJdNGEOddhkusing2017ahWBZ2w8Hm+OxACm5DP3gT4WtvH1bWD9rPpw=&amp;source=From_Excelweb" TargetMode="External"/><Relationship Id="rId477" Type="http://schemas.openxmlformats.org/officeDocument/2006/relationships/hyperlink" Target="https://media.mydiamonds.info/certificate/YSBMD089?u=EUNIz5WT2fZuddhkusing20173KEWOyDkGdL+Aiddhkusing2017LlKjLS2pHI80UgLh2lEXn9OFnY8ZCdyLESVvJdNGEOddhkusing2017ahWBZ2w8Hm+OxACm5DP3gT4WtvH1bWD9rPpw=" TargetMode="External"/><Relationship Id="rId478" Type="http://schemas.openxmlformats.org/officeDocument/2006/relationships/hyperlink" Target="https://media.mydiamonds.info/mplayer/YSBMD089?u=EUNIz5WT2fZuddhkusing20173KEWOyDkGdL+Aiddhkusing2017LlKjLS2pHI80UgLh2lEXn9OFnY8ZCdyLESVvJdNGEOddhkusing2017ahWBZ2w8Hm+OxACm5DP3gT4WtvH1bWD9rPpw=" TargetMode="External"/><Relationship Id="rId479" Type="http://schemas.openxmlformats.org/officeDocument/2006/relationships/hyperlink" Target="https://media.mydiamonds.info/diamond-detail.aspx?r=YSBMD089&amp;u=EUNIz5WT2fZuddhkusing20173KEWOyDkGdL+Aiddhkusing2017LlKjLS2pHI80UgLh2lEXn9OFnY8ZCdyLESVvJdNGEOddhkusing2017ahWBZ2w8Hm+OxACm5DP3gT4WtvH1bWD9rPpw=&amp;source=From_Excelweb" TargetMode="External"/><Relationship Id="rId480" Type="http://schemas.openxmlformats.org/officeDocument/2006/relationships/hyperlink" Target="https://media.mydiamonds.info/certificate/YSBSE037?u=EUNIz5WT2fZuddhkusing20173KEWOyDkGdL+Aiddhkusing2017LlKjLS2pHI80UgLh2lEXn9OFnY8ZCdyLESVvJdNGEOddhkusing2017ahWBZ2w8Hm+OxACm5DP3gT4WtvH1bWD9rPpw=" TargetMode="External"/><Relationship Id="rId481" Type="http://schemas.openxmlformats.org/officeDocument/2006/relationships/hyperlink" Target="https://media.mydiamonds.info/mplayer/YSBSE037?u=EUNIz5WT2fZuddhkusing20173KEWOyDkGdL+Aiddhkusing2017LlKjLS2pHI80UgLh2lEXn9OFnY8ZCdyLESVvJdNGEOddhkusing2017ahWBZ2w8Hm+OxACm5DP3gT4WtvH1bWD9rPpw=" TargetMode="External"/><Relationship Id="rId482" Type="http://schemas.openxmlformats.org/officeDocument/2006/relationships/hyperlink" Target="https://media.mydiamonds.info/diamond-detail.aspx?r=YSBSE037&amp;u=EUNIz5WT2fZuddhkusing20173KEWOyDkGdL+Aiddhkusing2017LlKjLS2pHI80UgLh2lEXn9OFnY8ZCdyLESVvJdNGEOddhkusing2017ahWBZ2w8Hm+OxACm5DP3gT4WtvH1bWD9rPpw=&amp;source=From_Excelweb" TargetMode="External"/><Relationship Id="rId483" Type="http://schemas.openxmlformats.org/officeDocument/2006/relationships/hyperlink" Target="https://media.mydiamonds.info/certificate/YSBSQ029?u=EUNIz5WT2fZuddhkusing20173KEWOyDkGdL+Aiddhkusing2017LlKjLS2pHI80UgLh2lEXn9OFnY8ZCdyLESVvJdNGEOddhkusing2017ahWBZ2w8Hm+OxACm5DP3gT4WtvH1bWD9rPpw=" TargetMode="External"/><Relationship Id="rId484" Type="http://schemas.openxmlformats.org/officeDocument/2006/relationships/hyperlink" Target="https://media.mydiamonds.info/hna/YSBSQ029?u=EUNIz5WT2fZuddhkusing20173KEWOyDkGdL+Aiddhkusing2017LlKjLS2pHI80UgLh2lEXn9OFnY8ZCdyLESVvJdNGEOddhkusing2017ahWBZ2w8Hm+OxACm5DP3gT4WtvH1bWD9rPpw=" TargetMode="External"/><Relationship Id="rId485" Type="http://schemas.openxmlformats.org/officeDocument/2006/relationships/hyperlink" Target="https://media.mydiamonds.info/mplayer/YSBSQ029?u=EUNIz5WT2fZuddhkusing20173KEWOyDkGdL+Aiddhkusing2017LlKjLS2pHI80UgLh2lEXn9OFnY8ZCdyLESVvJdNGEOddhkusing2017ahWBZ2w8Hm+OxACm5DP3gT4WtvH1bWD9rPpw=" TargetMode="External"/><Relationship Id="rId486" Type="http://schemas.openxmlformats.org/officeDocument/2006/relationships/hyperlink" Target="https://media.mydiamonds.info/diamond-detail.aspx?r=YSBSQ029&amp;u=EUNIz5WT2fZuddhkusing20173KEWOyDkGdL+Aiddhkusing2017LlKjLS2pHI80UgLh2lEXn9OFnY8ZCdyLESVvJdNGEOddhkusing2017ahWBZ2w8Hm+OxACm5DP3gT4WtvH1bWD9rPpw=&amp;source=From_Excelweb" TargetMode="External"/><Relationship Id="rId487" Type="http://schemas.openxmlformats.org/officeDocument/2006/relationships/hyperlink" Target="https://media.mydiamonds.info/certificate/YSNPB227?u=EUNIz5WT2fZuddhkusing20173KEWOyDkGdL+Aiddhkusing2017LlKjLS2pHI80UgLh2lEXn9OFnY8ZCdyLESVvJdNGEOddhkusing2017ahWBZ2w8Hm+OxACm5DP3gT4WtvH1bWD9rPpw=" TargetMode="External"/><Relationship Id="rId488" Type="http://schemas.openxmlformats.org/officeDocument/2006/relationships/hyperlink" Target="https://media.mydiamonds.info/mplayer/YSNPB227?u=EUNIz5WT2fZuddhkusing20173KEWOyDkGdL+Aiddhkusing2017LlKjLS2pHI80UgLh2lEXn9OFnY8ZCdyLESVvJdNGEOddhkusing2017ahWBZ2w8Hm+OxACm5DP3gT4WtvH1bWD9rPpw=" TargetMode="External"/><Relationship Id="rId489" Type="http://schemas.openxmlformats.org/officeDocument/2006/relationships/hyperlink" Target="https://media.mydiamonds.info/diamond-detail.aspx?r=YSNPB227&amp;u=EUNIz5WT2fZuddhkusing20173KEWOyDkGdL+Aiddhkusing2017LlKjLS2pHI80UgLh2lEXn9OFnY8ZCdyLESVvJdNGEOddhkusing2017ahWBZ2w8Hm+OxACm5DP3gT4WtvH1bWD9rPpw=&amp;source=From_Excelweb" TargetMode="External"/><Relationship Id="rId490" Type="http://schemas.openxmlformats.org/officeDocument/2006/relationships/hyperlink" Target="https://media.mydiamonds.info/certificate/YSNAW042?u=EUNIz5WT2fZuddhkusing20173KEWOyDkGdL+Aiddhkusing2017LlKjLS2pHI80UgLh2lEXn9OFnY8ZCdyLESVvJdNGEOddhkusing2017ahWBZ2w8Hm+OxACm5DP3gT4WtvH1bWD9rPpw=" TargetMode="External"/><Relationship Id="rId491" Type="http://schemas.openxmlformats.org/officeDocument/2006/relationships/hyperlink" Target="https://media.mydiamonds.info/hna/YSNAW042?u=EUNIz5WT2fZuddhkusing20173KEWOyDkGdL+Aiddhkusing2017LlKjLS2pHI80UgLh2lEXn9OFnY8ZCdyLESVvJdNGEOddhkusing2017ahWBZ2w8Hm+OxACm5DP3gT4WtvH1bWD9rPpw=" TargetMode="External"/><Relationship Id="rId492" Type="http://schemas.openxmlformats.org/officeDocument/2006/relationships/hyperlink" Target="https://media.mydiamonds.info/mplayer/YSNAW042?u=EUNIz5WT2fZuddhkusing20173KEWOyDkGdL+Aiddhkusing2017LlKjLS2pHI80UgLh2lEXn9OFnY8ZCdyLESVvJdNGEOddhkusing2017ahWBZ2w8Hm+OxACm5DP3gT4WtvH1bWD9rPpw=" TargetMode="External"/><Relationship Id="rId493" Type="http://schemas.openxmlformats.org/officeDocument/2006/relationships/hyperlink" Target="https://media.mydiamonds.info/diamond-detail.aspx?r=YSNAW042&amp;u=EUNIz5WT2fZuddhkusing20173KEWOyDkGdL+Aiddhkusing2017LlKjLS2pHI80UgLh2lEXn9OFnY8ZCdyLESVvJdNGEOddhkusing2017ahWBZ2w8Hm+OxACm5DP3gT4WtvH1bWD9rPpw=&amp;source=From_Excelweb" TargetMode="External"/><Relationship Id="rId494" Type="http://schemas.openxmlformats.org/officeDocument/2006/relationships/hyperlink" Target="https://media.mydiamonds.info/certificate/YSNXX197?u=EUNIz5WT2fZuddhkusing20173KEWOyDkGdL+Aiddhkusing2017LlKjLS2pHI80UgLh2lEXn9OFnY8ZCdyLESVvJdNGEOddhkusing2017ahWBZ2w8Hm+OxACm5DP3gT4WtvH1bWD9rPpw=" TargetMode="External"/><Relationship Id="rId495" Type="http://schemas.openxmlformats.org/officeDocument/2006/relationships/hyperlink" Target="https://media.mydiamonds.info/hna/YSNXX197?u=EUNIz5WT2fZuddhkusing20173KEWOyDkGdL+Aiddhkusing2017LlKjLS2pHI80UgLh2lEXn9OFnY8ZCdyLESVvJdNGEOddhkusing2017ahWBZ2w8Hm+OxACm5DP3gT4WtvH1bWD9rPpw=" TargetMode="External"/><Relationship Id="rId496" Type="http://schemas.openxmlformats.org/officeDocument/2006/relationships/hyperlink" Target="https://media.mydiamonds.info/mplayer/YSNXX197?u=EUNIz5WT2fZuddhkusing20173KEWOyDkGdL+Aiddhkusing2017LlKjLS2pHI80UgLh2lEXn9OFnY8ZCdyLESVvJdNGEOddhkusing2017ahWBZ2w8Hm+OxACm5DP3gT4WtvH1bWD9rPpw=" TargetMode="External"/><Relationship Id="rId497" Type="http://schemas.openxmlformats.org/officeDocument/2006/relationships/hyperlink" Target="https://media.mydiamonds.info/diamond-detail.aspx?r=YSNXX197&amp;u=EUNIz5WT2fZuddhkusing20173KEWOyDkGdL+Aiddhkusing2017LlKjLS2pHI80UgLh2lEXn9OFnY8ZCdyLESVvJdNGEOddhkusing2017ahWBZ2w8Hm+OxACm5DP3gT4WtvH1bWD9rPpw=&amp;source=From_Excelweb" TargetMode="External"/><Relationship Id="rId498" Type="http://schemas.openxmlformats.org/officeDocument/2006/relationships/hyperlink" Target="https://media.mydiamonds.info/certificate/YSBKF004?u=EUNIz5WT2fZuddhkusing20173KEWOyDkGdL+Aiddhkusing2017LlKjLS2pHI80UgLh2lEXn9OFnY8ZCdyLESVvJdNGEOddhkusing2017ahWBZ2w8Hm+OxACm5DP3gT4WtvH1bWD9rPpw=" TargetMode="External"/><Relationship Id="rId499" Type="http://schemas.openxmlformats.org/officeDocument/2006/relationships/hyperlink" Target="https://media.mydiamonds.info/hna/YSBKF004?u=EUNIz5WT2fZuddhkusing20173KEWOyDkGdL+Aiddhkusing2017LlKjLS2pHI80UgLh2lEXn9OFnY8ZCdyLESVvJdNGEOddhkusing2017ahWBZ2w8Hm+OxACm5DP3gT4WtvH1bWD9rPpw=" TargetMode="External"/><Relationship Id="rId500" Type="http://schemas.openxmlformats.org/officeDocument/2006/relationships/hyperlink" Target="https://media.mydiamonds.info/mplayer/YSBKF004?u=EUNIz5WT2fZuddhkusing20173KEWOyDkGdL+Aiddhkusing2017LlKjLS2pHI80UgLh2lEXn9OFnY8ZCdyLESVvJdNGEOddhkusing2017ahWBZ2w8Hm+OxACm5DP3gT4WtvH1bWD9rPpw=" TargetMode="External"/><Relationship Id="rId501" Type="http://schemas.openxmlformats.org/officeDocument/2006/relationships/hyperlink" Target="https://media.mydiamonds.info/diamond-detail.aspx?r=YSBKF004&amp;u=EUNIz5WT2fZuddhkusing20173KEWOyDkGdL+Aiddhkusing2017LlKjLS2pHI80UgLh2lEXn9OFnY8ZCdyLESVvJdNGEOddhkusing2017ahWBZ2w8Hm+OxACm5DP3gT4WtvH1bWD9rPpw=&amp;source=From_Excelweb" TargetMode="External"/><Relationship Id="rId502" Type="http://schemas.openxmlformats.org/officeDocument/2006/relationships/hyperlink" Target="https://media.mydiamonds.info/certificate/YSCAL042?u=EUNIz5WT2fZuddhkusing20173KEWOyDkGdL+Aiddhkusing2017LlKjLS2pHI80UgLh2lEXn9OFnY8ZCdyLESVvJdNGEOddhkusing2017ahWBZ2w8Hm+OxACm5DP3gT4WtvH1bWD9rPpw=" TargetMode="External"/><Relationship Id="rId503" Type="http://schemas.openxmlformats.org/officeDocument/2006/relationships/hyperlink" Target="https://media.mydiamonds.info/mplayer/YSCAL042?u=EUNIz5WT2fZuddhkusing20173KEWOyDkGdL+Aiddhkusing2017LlKjLS2pHI80UgLh2lEXn9OFnY8ZCdyLESVvJdNGEOddhkusing2017ahWBZ2w8Hm+OxACm5DP3gT4WtvH1bWD9rPpw=" TargetMode="External"/><Relationship Id="rId504" Type="http://schemas.openxmlformats.org/officeDocument/2006/relationships/hyperlink" Target="https://media.mydiamonds.info/diamond-detail.aspx?r=YSCAL042&amp;u=EUNIz5WT2fZuddhkusing20173KEWOyDkGdL+Aiddhkusing2017LlKjLS2pHI80UgLh2lEXn9OFnY8ZCdyLESVvJdNGEOddhkusing2017ahWBZ2w8Hm+OxACm5DP3gT4WtvH1bWD9rPpw=&amp;source=From_Excelweb" TargetMode="External"/><Relationship Id="rId505" Type="http://schemas.openxmlformats.org/officeDocument/2006/relationships/hyperlink" Target="https://media.mydiamonds.info/certificate/YSCEU025?u=EUNIz5WT2fZuddhkusing20173KEWOyDkGdL+Aiddhkusing2017LlKjLS2pHI80UgLh2lEXn9OFnY8ZCdyLESVvJdNGEOddhkusing2017ahWBZ2w8Hm+OxACm5DP3gT4WtvH1bWD9rPpw=" TargetMode="External"/><Relationship Id="rId506" Type="http://schemas.openxmlformats.org/officeDocument/2006/relationships/hyperlink" Target="https://media.mydiamonds.info/hna/YSCEU025?u=EUNIz5WT2fZuddhkusing20173KEWOyDkGdL+Aiddhkusing2017LlKjLS2pHI80UgLh2lEXn9OFnY8ZCdyLESVvJdNGEOddhkusing2017ahWBZ2w8Hm+OxACm5DP3gT4WtvH1bWD9rPpw=" TargetMode="External"/><Relationship Id="rId507" Type="http://schemas.openxmlformats.org/officeDocument/2006/relationships/hyperlink" Target="https://media.mydiamonds.info/mplayer/YSCEU025?u=EUNIz5WT2fZuddhkusing20173KEWOyDkGdL+Aiddhkusing2017LlKjLS2pHI80UgLh2lEXn9OFnY8ZCdyLESVvJdNGEOddhkusing2017ahWBZ2w8Hm+OxACm5DP3gT4WtvH1bWD9rPpw=" TargetMode="External"/><Relationship Id="rId508" Type="http://schemas.openxmlformats.org/officeDocument/2006/relationships/hyperlink" Target="https://media.mydiamonds.info/diamond-detail.aspx?r=YSCEU025&amp;u=EUNIz5WT2fZuddhkusing20173KEWOyDkGdL+Aiddhkusing2017LlKjLS2pHI80UgLh2lEXn9OFnY8ZCdyLESVvJdNGEOddhkusing2017ahWBZ2w8Hm+OxACm5DP3gT4WtvH1bWD9rPpw=&amp;source=From_Excelweb" TargetMode="External"/><Relationship Id="rId509" Type="http://schemas.openxmlformats.org/officeDocument/2006/relationships/hyperlink" Target="https://media.mydiamonds.info/certificate/YSNXE033?u=EUNIz5WT2fZuddhkusing20173KEWOyDkGdL+Aiddhkusing2017LlKjLS2pHI80UgLh2lEXn9OFnY8ZCdyLESVvJdNGEOddhkusing2017ahWBZ2w8Hm+OxACm5DP3gT4WtvH1bWD9rPpw=" TargetMode="External"/><Relationship Id="rId510" Type="http://schemas.openxmlformats.org/officeDocument/2006/relationships/hyperlink" Target="https://media.mydiamonds.info/mplayer/YSNXE033?u=EUNIz5WT2fZuddhkusing20173KEWOyDkGdL+Aiddhkusing2017LlKjLS2pHI80UgLh2lEXn9OFnY8ZCdyLESVvJdNGEOddhkusing2017ahWBZ2w8Hm+OxACm5DP3gT4WtvH1bWD9rPpw=" TargetMode="External"/><Relationship Id="rId511" Type="http://schemas.openxmlformats.org/officeDocument/2006/relationships/hyperlink" Target="https://media.mydiamonds.info/diamond-detail.aspx?r=YSNXE033&amp;u=EUNIz5WT2fZuddhkusing20173KEWOyDkGdL+Aiddhkusing2017LlKjLS2pHI80UgLh2lEXn9OFnY8ZCdyLESVvJdNGEOddhkusing2017ahWBZ2w8Hm+OxACm5DP3gT4WtvH1bWD9rPpw=&amp;source=From_Excelweb" TargetMode="External"/><Relationship Id="rId512" Type="http://schemas.openxmlformats.org/officeDocument/2006/relationships/hyperlink" Target="https://media.mydiamonds.info/certificate/YSCKI181?u=EUNIz5WT2fZuddhkusing20173KEWOyDkGdL+Aiddhkusing2017LlKjLS2pHI80UgLh2lEXn9OFnY8ZCdyLESVvJdNGEOddhkusing2017ahWBZ2w8Hm+OxACm5DP3gT4WtvH1bWD9rPpw=" TargetMode="External"/><Relationship Id="rId513" Type="http://schemas.openxmlformats.org/officeDocument/2006/relationships/hyperlink" Target="https://media.mydiamonds.info/mplayer/YSCKI181?u=EUNIz5WT2fZuddhkusing20173KEWOyDkGdL+Aiddhkusing2017LlKjLS2pHI80UgLh2lEXn9OFnY8ZCdyLESVvJdNGEOddhkusing2017ahWBZ2w8Hm+OxACm5DP3gT4WtvH1bWD9rPpw=" TargetMode="External"/><Relationship Id="rId514" Type="http://schemas.openxmlformats.org/officeDocument/2006/relationships/hyperlink" Target="https://media.mydiamonds.info/diamond-detail.aspx?r=YSCKI181&amp;u=EUNIz5WT2fZuddhkusing20173KEWOyDkGdL+Aiddhkusing2017LlKjLS2pHI80UgLh2lEXn9OFnY8ZCdyLESVvJdNGEOddhkusing2017ahWBZ2w8Hm+OxACm5DP3gT4WtvH1bWD9rPpw=&amp;source=From_Excelweb" TargetMode="External"/><Relationship Id="rId515" Type="http://schemas.openxmlformats.org/officeDocument/2006/relationships/hyperlink" Target="https://media.mydiamonds.info/certificate/YSNRD167?u=EUNIz5WT2fZuddhkusing20173KEWOyDkGdL+Aiddhkusing2017LlKjLS2pHI80UgLh2lEXn9OFnY8ZCdyLESVvJdNGEOddhkusing2017ahWBZ2w8Hm+OxACm5DP3gT4WtvH1bWD9rPpw=" TargetMode="External"/><Relationship Id="rId516" Type="http://schemas.openxmlformats.org/officeDocument/2006/relationships/hyperlink" Target="https://media.mydiamonds.info/hna/YSNRD167?u=EUNIz5WT2fZuddhkusing20173KEWOyDkGdL+Aiddhkusing2017LlKjLS2pHI80UgLh2lEXn9OFnY8ZCdyLESVvJdNGEOddhkusing2017ahWBZ2w8Hm+OxACm5DP3gT4WtvH1bWD9rPpw=" TargetMode="External"/><Relationship Id="rId517" Type="http://schemas.openxmlformats.org/officeDocument/2006/relationships/hyperlink" Target="https://media.mydiamonds.info/mplayer/YSNRD167?u=EUNIz5WT2fZuddhkusing20173KEWOyDkGdL+Aiddhkusing2017LlKjLS2pHI80UgLh2lEXn9OFnY8ZCdyLESVvJdNGEOddhkusing2017ahWBZ2w8Hm+OxACm5DP3gT4WtvH1bWD9rPpw=" TargetMode="External"/><Relationship Id="rId518" Type="http://schemas.openxmlformats.org/officeDocument/2006/relationships/hyperlink" Target="https://media.mydiamonds.info/diamond-detail.aspx?r=YSNRD167&amp;u=EUNIz5WT2fZuddhkusing20173KEWOyDkGdL+Aiddhkusing2017LlKjLS2pHI80UgLh2lEXn9OFnY8ZCdyLESVvJdNGEOddhkusing2017ahWBZ2w8Hm+OxACm5DP3gT4WtvH1bWD9rPpw=&amp;source=From_Excelweb" TargetMode="External"/><Relationship Id="rId519" Type="http://schemas.openxmlformats.org/officeDocument/2006/relationships/hyperlink" Target="https://media.mydiamonds.info/certificate/YPUS27017?u=EUNIz5WT2fZuddhkusing20173KEWOyDkGdL+Aiddhkusing2017LlKjLS2pHI80UgLh2lEXn9OFnY8ZCdyLESVvJdNGEOddhkusing2017ahWBZ2w8Hm+OxACm5DP3gT4WtvH1bWD9rPpw=" TargetMode="External"/><Relationship Id="rId520" Type="http://schemas.openxmlformats.org/officeDocument/2006/relationships/hyperlink" Target="https://media.mydiamonds.info/mplayer/YPUS27017?u=EUNIz5WT2fZuddhkusing20173KEWOyDkGdL+Aiddhkusing2017LlKjLS2pHI80UgLh2lEXn9OFnY8ZCdyLESVvJdNGEOddhkusing2017ahWBZ2w8Hm+OxACm5DP3gT4WtvH1bWD9rPpw=" TargetMode="External"/><Relationship Id="rId521" Type="http://schemas.openxmlformats.org/officeDocument/2006/relationships/hyperlink" Target="https://media.mydiamonds.info/diamond-detail.aspx?r=YPUS27017&amp;u=EUNIz5WT2fZuddhkusing20173KEWOyDkGdL+Aiddhkusing2017LlKjLS2pHI80UgLh2lEXn9OFnY8ZCdyLESVvJdNGEOddhkusing2017ahWBZ2w8Hm+OxACm5DP3gT4WtvH1bWD9rPpw=&amp;source=From_Excelweb" TargetMode="External"/><Relationship Id="rId522" Type="http://schemas.openxmlformats.org/officeDocument/2006/relationships/hyperlink" Target="https://media.mydiamonds.info/certificate/YSMYQ057?u=EUNIz5WT2fZuddhkusing20173KEWOyDkGdL+Aiddhkusing2017LlKjLS2pHI80UgLh2lEXn9OFnY8ZCdyLESVvJdNGEOddhkusing2017ahWBZ2w8Hm+OxACm5DP3gT4WtvH1bWD9rPpw=" TargetMode="External"/><Relationship Id="rId523" Type="http://schemas.openxmlformats.org/officeDocument/2006/relationships/hyperlink" Target="https://media.mydiamonds.info/hna/YSMYQ057?u=EUNIz5WT2fZuddhkusing20173KEWOyDkGdL+Aiddhkusing2017LlKjLS2pHI80UgLh2lEXn9OFnY8ZCdyLESVvJdNGEOddhkusing2017ahWBZ2w8Hm+OxACm5DP3gT4WtvH1bWD9rPpw=" TargetMode="External"/><Relationship Id="rId524" Type="http://schemas.openxmlformats.org/officeDocument/2006/relationships/hyperlink" Target="https://media.mydiamonds.info/mplayer/YSMYQ057?u=EUNIz5WT2fZuddhkusing20173KEWOyDkGdL+Aiddhkusing2017LlKjLS2pHI80UgLh2lEXn9OFnY8ZCdyLESVvJdNGEOddhkusing2017ahWBZ2w8Hm+OxACm5DP3gT4WtvH1bWD9rPpw=" TargetMode="External"/><Relationship Id="rId525" Type="http://schemas.openxmlformats.org/officeDocument/2006/relationships/hyperlink" Target="https://media.mydiamonds.info/diamond-detail.aspx?r=YSMYQ057&amp;u=EUNIz5WT2fZuddhkusing20173KEWOyDkGdL+Aiddhkusing2017LlKjLS2pHI80UgLh2lEXn9OFnY8ZCdyLESVvJdNGEOddhkusing2017ahWBZ2w8Hm+OxACm5DP3gT4WtvH1bWD9rPpw=&amp;source=From_Excelweb" TargetMode="External"/><Relationship Id="rId526" Type="http://schemas.openxmlformats.org/officeDocument/2006/relationships/hyperlink" Target="https://media.mydiamonds.info/certificate/YSCCC014?u=EUNIz5WT2fZuddhkusing20173KEWOyDkGdL+Aiddhkusing2017LlKjLS2pHI80UgLh2lEXn9OFnY8ZCdyLESVvJdNGEOddhkusing2017ahWBZ2w8Hm+OxACm5DP3gT4WtvH1bWD9rPpw=" TargetMode="External"/><Relationship Id="rId527" Type="http://schemas.openxmlformats.org/officeDocument/2006/relationships/hyperlink" Target="https://media.mydiamonds.info/mplayer/YSCCC014?u=EUNIz5WT2fZuddhkusing20173KEWOyDkGdL+Aiddhkusing2017LlKjLS2pHI80UgLh2lEXn9OFnY8ZCdyLESVvJdNGEOddhkusing2017ahWBZ2w8Hm+OxACm5DP3gT4WtvH1bWD9rPpw=" TargetMode="External"/><Relationship Id="rId528" Type="http://schemas.openxmlformats.org/officeDocument/2006/relationships/hyperlink" Target="https://media.mydiamonds.info/diamond-detail.aspx?r=YSCCC014&amp;u=EUNIz5WT2fZuddhkusing20173KEWOyDkGdL+Aiddhkusing2017LlKjLS2pHI80UgLh2lEXn9OFnY8ZCdyLESVvJdNGEOddhkusing2017ahWBZ2w8Hm+OxACm5DP3gT4WtvH1bWD9rPpw=&amp;source=From_Excelweb" TargetMode="External"/><Relationship Id="rId529" Type="http://schemas.openxmlformats.org/officeDocument/2006/relationships/hyperlink" Target="https://media.mydiamonds.info/certificate/YSCEU013?u=EUNIz5WT2fZuddhkusing20173KEWOyDkGdL+Aiddhkusing2017LlKjLS2pHI80UgLh2lEXn9OFnY8ZCdyLESVvJdNGEOddhkusing2017ahWBZ2w8Hm+OxACm5DP3gT4WtvH1bWD9rPpw=" TargetMode="External"/><Relationship Id="rId530" Type="http://schemas.openxmlformats.org/officeDocument/2006/relationships/hyperlink" Target="https://media.mydiamonds.info/mplayer/YSCEU013?u=EUNIz5WT2fZuddhkusing20173KEWOyDkGdL+Aiddhkusing2017LlKjLS2pHI80UgLh2lEXn9OFnY8ZCdyLESVvJdNGEOddhkusing2017ahWBZ2w8Hm+OxACm5DP3gT4WtvH1bWD9rPpw=" TargetMode="External"/><Relationship Id="rId531" Type="http://schemas.openxmlformats.org/officeDocument/2006/relationships/hyperlink" Target="https://media.mydiamonds.info/diamond-detail.aspx?r=YSCEU013&amp;u=EUNIz5WT2fZuddhkusing20173KEWOyDkGdL+Aiddhkusing2017LlKjLS2pHI80UgLh2lEXn9OFnY8ZCdyLESVvJdNGEOddhkusing2017ahWBZ2w8Hm+OxACm5DP3gT4WtvH1bWD9rPpw=&amp;source=From_Excelweb" TargetMode="External"/><Relationship Id="rId532" Type="http://schemas.openxmlformats.org/officeDocument/2006/relationships/hyperlink" Target="https://media.mydiamonds.info/certificate/YSCBX075?u=EUNIz5WT2fZuddhkusing20173KEWOyDkGdL+Aiddhkusing2017LlKjLS2pHI80UgLh2lEXn9OFnY8ZCdyLESVvJdNGEOddhkusing2017ahWBZ2w8Hm+OxACm5DP3gT4WtvH1bWD9rPpw=" TargetMode="External"/><Relationship Id="rId533" Type="http://schemas.openxmlformats.org/officeDocument/2006/relationships/hyperlink" Target="https://media.mydiamonds.info/hna/YSCBX075?u=EUNIz5WT2fZuddhkusing20173KEWOyDkGdL+Aiddhkusing2017LlKjLS2pHI80UgLh2lEXn9OFnY8ZCdyLESVvJdNGEOddhkusing2017ahWBZ2w8Hm+OxACm5DP3gT4WtvH1bWD9rPpw=" TargetMode="External"/><Relationship Id="rId534" Type="http://schemas.openxmlformats.org/officeDocument/2006/relationships/hyperlink" Target="https://media.mydiamonds.info/mplayer/YSCBX075?u=EUNIz5WT2fZuddhkusing20173KEWOyDkGdL+Aiddhkusing2017LlKjLS2pHI80UgLh2lEXn9OFnY8ZCdyLESVvJdNGEOddhkusing2017ahWBZ2w8Hm+OxACm5DP3gT4WtvH1bWD9rPpw=" TargetMode="External"/><Relationship Id="rId535" Type="http://schemas.openxmlformats.org/officeDocument/2006/relationships/hyperlink" Target="https://media.mydiamonds.info/diamond-detail.aspx?r=YSCBX075&amp;u=EUNIz5WT2fZuddhkusing20173KEWOyDkGdL+Aiddhkusing2017LlKjLS2pHI80UgLh2lEXn9OFnY8ZCdyLESVvJdNGEOddhkusing2017ahWBZ2w8Hm+OxACm5DP3gT4WtvH1bWD9rPpw=&amp;source=From_Excelweb" TargetMode="External"/><Relationship Id="rId536" Type="http://schemas.openxmlformats.org/officeDocument/2006/relationships/hyperlink" Target="https://media.mydiamonds.info/certificate/YSMPN155?u=EUNIz5WT2fZuddhkusing20173KEWOyDkGdL+Aiddhkusing2017LlKjLS2pHI80UgLh2lEXn9OFnY8ZCdyLESVvJdNGEOddhkusing2017ahWBZ2w8Hm+OxACm5DP3gT4WtvH1bWD9rPpw=" TargetMode="External"/><Relationship Id="rId537" Type="http://schemas.openxmlformats.org/officeDocument/2006/relationships/hyperlink" Target="https://media.mydiamonds.info/mplayer/YSMPN155?u=EUNIz5WT2fZuddhkusing20173KEWOyDkGdL+Aiddhkusing2017LlKjLS2pHI80UgLh2lEXn9OFnY8ZCdyLESVvJdNGEOddhkusing2017ahWBZ2w8Hm+OxACm5DP3gT4WtvH1bWD9rPpw=" TargetMode="External"/><Relationship Id="rId538" Type="http://schemas.openxmlformats.org/officeDocument/2006/relationships/hyperlink" Target="https://media.mydiamonds.info/diamond-detail.aspx?r=YSMPN155&amp;u=EUNIz5WT2fZuddhkusing20173KEWOyDkGdL+Aiddhkusing2017LlKjLS2pHI80UgLh2lEXn9OFnY8ZCdyLESVvJdNGEOddhkusing2017ahWBZ2w8Hm+OxACm5DP3gT4WtvH1bWD9rPpw=&amp;source=From_Excelweb" TargetMode="External"/><Relationship Id="rId539" Type="http://schemas.openxmlformats.org/officeDocument/2006/relationships/hyperlink" Target="https://media.mydiamonds.info/certificate/YSCCI085?u=EUNIz5WT2fZuddhkusing20173KEWOyDkGdL+Aiddhkusing2017LlKjLS2pHI80UgLh2lEXn9OFnY8ZCdyLESVvJdNGEOddhkusing2017ahWBZ2w8Hm+OxACm5DP3gT4WtvH1bWD9rPpw=" TargetMode="External"/><Relationship Id="rId540" Type="http://schemas.openxmlformats.org/officeDocument/2006/relationships/hyperlink" Target="https://media.mydiamonds.info/hna/YSCCI085?u=EUNIz5WT2fZuddhkusing20173KEWOyDkGdL+Aiddhkusing2017LlKjLS2pHI80UgLh2lEXn9OFnY8ZCdyLESVvJdNGEOddhkusing2017ahWBZ2w8Hm+OxACm5DP3gT4WtvH1bWD9rPpw=" TargetMode="External"/><Relationship Id="rId541" Type="http://schemas.openxmlformats.org/officeDocument/2006/relationships/hyperlink" Target="https://media.mydiamonds.info/mplayer/YSCCI085?u=EUNIz5WT2fZuddhkusing20173KEWOyDkGdL+Aiddhkusing2017LlKjLS2pHI80UgLh2lEXn9OFnY8ZCdyLESVvJdNGEOddhkusing2017ahWBZ2w8Hm+OxACm5DP3gT4WtvH1bWD9rPpw=" TargetMode="External"/><Relationship Id="rId542" Type="http://schemas.openxmlformats.org/officeDocument/2006/relationships/hyperlink" Target="https://media.mydiamonds.info/diamond-detail.aspx?r=YSCCI085&amp;u=EUNIz5WT2fZuddhkusing20173KEWOyDkGdL+Aiddhkusing2017LlKjLS2pHI80UgLh2lEXn9OFnY8ZCdyLESVvJdNGEOddhkusing2017ahWBZ2w8Hm+OxACm5DP3gT4WtvH1bWD9rPpw=&amp;source=From_Excelweb" TargetMode="External"/><Relationship Id="rId543" Type="http://schemas.openxmlformats.org/officeDocument/2006/relationships/hyperlink" Target="https://media.mydiamonds.info/certificate/YSBDR050?u=EUNIz5WT2fZuddhkusing20173KEWOyDkGdL+Aiddhkusing2017LlKjLS2pHI80UgLh2lEXn9OFnY8ZCdyLESVvJdNGEOddhkusing2017ahWBZ2w8Hm+OxACm5DP3gT4WtvH1bWD9rPpw=" TargetMode="External"/><Relationship Id="rId544" Type="http://schemas.openxmlformats.org/officeDocument/2006/relationships/hyperlink" Target="https://media.mydiamonds.info/hna/YSBDR050?u=EUNIz5WT2fZuddhkusing20173KEWOyDkGdL+Aiddhkusing2017LlKjLS2pHI80UgLh2lEXn9OFnY8ZCdyLESVvJdNGEOddhkusing2017ahWBZ2w8Hm+OxACm5DP3gT4WtvH1bWD9rPpw=" TargetMode="External"/><Relationship Id="rId545" Type="http://schemas.openxmlformats.org/officeDocument/2006/relationships/hyperlink" Target="https://media.mydiamonds.info/mplayer/YSBDR050?u=EUNIz5WT2fZuddhkusing20173KEWOyDkGdL+Aiddhkusing2017LlKjLS2pHI80UgLh2lEXn9OFnY8ZCdyLESVvJdNGEOddhkusing2017ahWBZ2w8Hm+OxACm5DP3gT4WtvH1bWD9rPpw=" TargetMode="External"/><Relationship Id="rId546" Type="http://schemas.openxmlformats.org/officeDocument/2006/relationships/hyperlink" Target="https://media.mydiamonds.info/diamond-detail.aspx?r=YSBDR050&amp;u=EUNIz5WT2fZuddhkusing20173KEWOyDkGdL+Aiddhkusing2017LlKjLS2pHI80UgLh2lEXn9OFnY8ZCdyLESVvJdNGEOddhkusing2017ahWBZ2w8Hm+OxACm5DP3gT4WtvH1bWD9rPpw=&amp;source=From_Excelweb" TargetMode="External"/><Relationship Id="rId547" Type="http://schemas.openxmlformats.org/officeDocument/2006/relationships/hyperlink" Target="https://media.mydiamonds.info/certificate/YSCCI012?u=EUNIz5WT2fZuddhkusing20173KEWOyDkGdL+Aiddhkusing2017LlKjLS2pHI80UgLh2lEXn9OFnY8ZCdyLESVvJdNGEOddhkusing2017ahWBZ2w8Hm+OxACm5DP3gT4WtvH1bWD9rPpw=" TargetMode="External"/><Relationship Id="rId548" Type="http://schemas.openxmlformats.org/officeDocument/2006/relationships/hyperlink" Target="https://media.mydiamonds.info/arrow/YSCCI012?u=EUNIz5WT2fZuddhkusing20173KEWOyDkGdL+Aiddhkusing2017LlKjLS2pHI80UgLh2lEXn9OFnY8ZCdyLESVvJdNGEOddhkusing2017ahWBZ2w8Hm+OxACm5DP3gT4WtvH1bWD9rPpw=" TargetMode="External"/><Relationship Id="rId549" Type="http://schemas.openxmlformats.org/officeDocument/2006/relationships/hyperlink" Target="https://media.mydiamonds.info/mplayer/YSCCI012?u=EUNIz5WT2fZuddhkusing20173KEWOyDkGdL+Aiddhkusing2017LlKjLS2pHI80UgLh2lEXn9OFnY8ZCdyLESVvJdNGEOddhkusing2017ahWBZ2w8Hm+OxACm5DP3gT4WtvH1bWD9rPpw=" TargetMode="External"/><Relationship Id="rId550" Type="http://schemas.openxmlformats.org/officeDocument/2006/relationships/hyperlink" Target="https://media.mydiamonds.info/diamond-detail.aspx?r=YSCCI012&amp;u=EUNIz5WT2fZuddhkusing20173KEWOyDkGdL+Aiddhkusing2017LlKjLS2pHI80UgLh2lEXn9OFnY8ZCdyLESVvJdNGEOddhkusing2017ahWBZ2w8Hm+OxACm5DP3gT4WtvH1bWD9rPpw=&amp;source=From_Excelweb" TargetMode="External"/><Relationship Id="rId551" Type="http://schemas.openxmlformats.org/officeDocument/2006/relationships/hyperlink" Target="https://media.mydiamonds.info/certificate/YSCCP017?u=EUNIz5WT2fZuddhkusing20173KEWOyDkGdL+Aiddhkusing2017LlKjLS2pHI80UgLh2lEXn9OFnY8ZCdyLESVvJdNGEOddhkusing2017ahWBZ2w8Hm+OxACm5DP3gT4WtvH1bWD9rPpw=" TargetMode="External"/><Relationship Id="rId552" Type="http://schemas.openxmlformats.org/officeDocument/2006/relationships/hyperlink" Target="https://media.mydiamonds.info/mplayer/YSCCP017?u=EUNIz5WT2fZuddhkusing20173KEWOyDkGdL+Aiddhkusing2017LlKjLS2pHI80UgLh2lEXn9OFnY8ZCdyLESVvJdNGEOddhkusing2017ahWBZ2w8Hm+OxACm5DP3gT4WtvH1bWD9rPpw=" TargetMode="External"/><Relationship Id="rId553" Type="http://schemas.openxmlformats.org/officeDocument/2006/relationships/hyperlink" Target="https://media.mydiamonds.info/diamond-detail.aspx?r=YSCCP017&amp;u=EUNIz5WT2fZuddhkusing20173KEWOyDkGdL+Aiddhkusing2017LlKjLS2pHI80UgLh2lEXn9OFnY8ZCdyLESVvJdNGEOddhkusing2017ahWBZ2w8Hm+OxACm5DP3gT4WtvH1bWD9rPpw=&amp;source=From_Excelweb" TargetMode="External"/><Relationship Id="rId554" Type="http://schemas.openxmlformats.org/officeDocument/2006/relationships/hyperlink" Target="https://media.mydiamonds.info/certificate/YSNTU050?u=EUNIz5WT2fZuddhkusing20173KEWOyDkGdL+Aiddhkusing2017LlKjLS2pHI80UgLh2lEXn9OFnY8ZCdyLESVvJdNGEOddhkusing2017ahWBZ2w8Hm+OxACm5DP3gT4WtvH1bWD9rPpw=" TargetMode="External"/><Relationship Id="rId555" Type="http://schemas.openxmlformats.org/officeDocument/2006/relationships/hyperlink" Target="https://media.mydiamonds.info/mplayer/YSNTU050?u=EUNIz5WT2fZuddhkusing20173KEWOyDkGdL+Aiddhkusing2017LlKjLS2pHI80UgLh2lEXn9OFnY8ZCdyLESVvJdNGEOddhkusing2017ahWBZ2w8Hm+OxACm5DP3gT4WtvH1bWD9rPpw=" TargetMode="External"/><Relationship Id="rId556" Type="http://schemas.openxmlformats.org/officeDocument/2006/relationships/hyperlink" Target="https://media.mydiamonds.info/diamond-detail.aspx?r=YSNTU050&amp;u=EUNIz5WT2fZuddhkusing20173KEWOyDkGdL+Aiddhkusing2017LlKjLS2pHI80UgLh2lEXn9OFnY8ZCdyLESVvJdNGEOddhkusing2017ahWBZ2w8Hm+OxACm5DP3gT4WtvH1bWD9rPpw=&amp;source=From_Excelweb" TargetMode="External"/><Relationship Id="rId557" Type="http://schemas.openxmlformats.org/officeDocument/2006/relationships/hyperlink" Target="https://media.mydiamonds.info/certificate/YSCIJ013?u=EUNIz5WT2fZuddhkusing20173KEWOyDkGdL+Aiddhkusing2017LlKjLS2pHI80UgLh2lEXn9OFnY8ZCdyLESVvJdNGEOddhkusing2017ahWBZ2w8Hm+OxACm5DP3gT4WtvH1bWD9rPpw=" TargetMode="External"/><Relationship Id="rId558" Type="http://schemas.openxmlformats.org/officeDocument/2006/relationships/hyperlink" Target="https://media.mydiamonds.info/mplayer/YSCIJ013?u=EUNIz5WT2fZuddhkusing20173KEWOyDkGdL+Aiddhkusing2017LlKjLS2pHI80UgLh2lEXn9OFnY8ZCdyLESVvJdNGEOddhkusing2017ahWBZ2w8Hm+OxACm5DP3gT4WtvH1bWD9rPpw=" TargetMode="External"/><Relationship Id="rId559" Type="http://schemas.openxmlformats.org/officeDocument/2006/relationships/hyperlink" Target="https://media.mydiamonds.info/diamond-detail.aspx?r=YSCIJ013&amp;u=EUNIz5WT2fZuddhkusing20173KEWOyDkGdL+Aiddhkusing2017LlKjLS2pHI80UgLh2lEXn9OFnY8ZCdyLESVvJdNGEOddhkusing2017ahWBZ2w8Hm+OxACm5DP3gT4WtvH1bWD9rPpw=&amp;source=From_Excelweb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61"/>
  <sheetViews>
    <sheetView workbookViewId="0"/>
  </sheetViews>
  <sheetFormatPr defaultRowHeight="15"/>
  <cols>
    <col min="1" max="1" width="9.140625" customWidth="1" style="1"/>
    <col min="2" max="2" width="11.7211046218872" customWidth="1" style="1"/>
    <col min="3" max="3" width="9.140625" customWidth="1" style="2"/>
    <col min="4" max="4" width="9.140625" customWidth="1" style="1"/>
    <col min="5" max="5" width="9.140625" customWidth="1" style="2"/>
    <col min="6" max="6" width="10.083176612854" customWidth="1" style="1"/>
    <col min="7" max="7" width="11.1277256011963" customWidth="1" style="1"/>
    <col min="8" max="8" width="9.140625" customWidth="1" style="1"/>
    <col min="9" max="9" width="9.140625" customWidth="1" style="1"/>
    <col min="10" max="10" width="9.140625" customWidth="1" style="2"/>
    <col min="11" max="11" width="9.140625" customWidth="1" style="2"/>
    <col min="12" max="12" width="9.140625" customWidth="1" style="2"/>
    <col min="13" max="13" width="9.6135892868042" customWidth="1" style="2"/>
    <col min="14" max="14" width="9.6135892868042" customWidth="1" style="1"/>
    <col min="15" max="15" width="9.140625" customWidth="1" style="2"/>
    <col min="16" max="16" width="9.140625" customWidth="1" style="1"/>
    <col min="17" max="17" width="9.140625" customWidth="1" style="1"/>
    <col min="18" max="18" width="9.140625" customWidth="1" style="2"/>
    <col min="19" max="19" width="9.140625" customWidth="1" style="1"/>
    <col min="20" max="20" width="12.3492660522461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31690120697021" customWidth="1" style="1"/>
    <col min="26" max="26" width="9.140625" customWidth="1" style="1"/>
    <col min="27" max="27" width="9.8918628692627" customWidth="1" style="1"/>
    <col min="28" max="28" width="53.588005065918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42227649688721" customWidth="1" style="1"/>
    <col min="35" max="35" width="10.1599063873291" customWidth="1" style="1"/>
    <col min="36" max="36" width="89.1497421264648" customWidth="1" style="1"/>
    <col min="37" max="37" width="45.4658851623535" customWidth="1" style="1"/>
    <col min="38" max="38" width="43.7972679138184" customWidth="1" style="1"/>
    <col min="39" max="39" width="46.4562110900879" customWidth="1" style="1"/>
    <col min="40" max="40" width="59.2926139831543" customWidth="1" style="1"/>
    <col min="41" max="41" width="9.78955745697021" customWidth="1" style="1"/>
    <col min="42" max="42" width="10.3952112197876" customWidth="1" style="1"/>
    <col min="43" max="43" width="9.3087158203125" customWidth="1" style="1"/>
    <col min="44" max="44" width="10.2693738937378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16384" width="9.140625" customWidth="1" style="1"/>
    <col min="52" max="16384" width="9.140625" customWidth="1" style="1"/>
    <col min="53" max="16384" width="9.140625" customWidth="1" style="1"/>
  </cols>
  <sheetData>
    <row r="1">
      <c r="A1" s="3" t="s">
        <v>0</v>
      </c>
      <c r="B1" s="3"/>
      <c r="C1" s="4"/>
      <c r="D1" s="3">
        <f>=SUBTOTAL(3,D3:D161)&amp; " Pcs"</f>
      </c>
      <c r="E1" s="4">
        <f>=SUBTOTAL(9,E3:E161)</f>
      </c>
      <c r="F1" s="3"/>
      <c r="G1" s="3"/>
      <c r="H1" s="3"/>
      <c r="I1" s="3"/>
      <c r="J1" s="4"/>
      <c r="K1" s="4"/>
      <c r="L1" s="4">
        <f>=ROUND(100-((O1/AH1)*100),2)</f>
      </c>
      <c r="M1" s="4"/>
      <c r="N1" s="3">
        <f>=ROUND(O1/E1,2)</f>
      </c>
      <c r="O1" s="4">
        <f>=SUBTOTAL(9,O3:O161)</f>
      </c>
      <c r="P1" s="3"/>
      <c r="Q1" s="3"/>
      <c r="R1" s="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>
        <f>=SUBTOTAL(9,AH3:AH161)</f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>
      <c r="A2" s="11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5" t="s">
        <v>14</v>
      </c>
      <c r="O2" s="6" t="s">
        <v>15</v>
      </c>
      <c r="P2" s="5" t="s">
        <v>16</v>
      </c>
      <c r="Q2" s="5" t="s">
        <v>17</v>
      </c>
      <c r="R2" s="6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</row>
    <row r="3">
      <c r="A3" s="7">
        <v>1</v>
      </c>
      <c r="B3" s="7" t="s">
        <v>45</v>
      </c>
      <c r="C3" s="8" t="s">
        <v>46</v>
      </c>
      <c r="D3" s="7" t="s">
        <v>47</v>
      </c>
      <c r="E3" s="9">
        <v>1.5</v>
      </c>
      <c r="F3" s="7" t="s">
        <v>48</v>
      </c>
      <c r="G3" s="7" t="s">
        <v>49</v>
      </c>
      <c r="H3" s="7" t="s">
        <v>50</v>
      </c>
      <c r="I3" s="7" t="s">
        <v>50</v>
      </c>
      <c r="J3" s="9" t="s">
        <v>50</v>
      </c>
      <c r="K3" s="9" t="s">
        <v>51</v>
      </c>
      <c r="L3" s="9">
        <v>43.67</v>
      </c>
      <c r="M3" s="9">
        <v>12000</v>
      </c>
      <c r="N3" s="7">
        <v>6759.6</v>
      </c>
      <c r="O3" s="9">
        <f>M3*(100-L3)/100*E3</f>
      </c>
      <c r="P3" s="7" t="s">
        <v>52</v>
      </c>
      <c r="Q3" s="7">
        <v>7.3</v>
      </c>
      <c r="R3" s="9">
        <v>7.25</v>
      </c>
      <c r="S3" s="7">
        <v>4.57</v>
      </c>
      <c r="T3" s="7" t="s">
        <v>53</v>
      </c>
      <c r="U3" s="7">
        <v>1.007</v>
      </c>
      <c r="V3" s="7">
        <v>62.8</v>
      </c>
      <c r="W3" s="7">
        <v>59</v>
      </c>
      <c r="X3" s="7" t="s">
        <v>54</v>
      </c>
      <c r="Y3" s="7" t="s">
        <v>55</v>
      </c>
      <c r="Z3" s="7" t="s">
        <v>56</v>
      </c>
      <c r="AA3" s="7" t="s">
        <v>57</v>
      </c>
      <c r="AB3" s="7" t="s">
        <v>58</v>
      </c>
      <c r="AC3" s="10" t="s">
        <v>56</v>
      </c>
      <c r="AD3" s="7" t="s">
        <v>56</v>
      </c>
      <c r="AE3" s="7" t="s">
        <v>56</v>
      </c>
      <c r="AF3" s="7" t="s">
        <v>56</v>
      </c>
      <c r="AG3" s="7" t="s">
        <v>56</v>
      </c>
      <c r="AH3" s="7">
        <v>18000</v>
      </c>
      <c r="AI3" s="10" t="s">
        <v>59</v>
      </c>
      <c r="AJ3" s="7" t="s">
        <v>60</v>
      </c>
      <c r="AK3" s="7"/>
      <c r="AL3" s="7"/>
      <c r="AM3" s="7"/>
      <c r="AN3" s="7" t="s">
        <v>61</v>
      </c>
      <c r="AO3" s="7" t="b">
        <v>1</v>
      </c>
      <c r="AP3" s="7">
        <v>1</v>
      </c>
      <c r="AQ3" s="7">
        <v>1</v>
      </c>
      <c r="AR3" s="10" t="s">
        <v>62</v>
      </c>
    </row>
    <row r="4">
      <c r="A4" s="7">
        <v>2</v>
      </c>
      <c r="B4" s="7" t="s">
        <v>63</v>
      </c>
      <c r="C4" s="8" t="s">
        <v>46</v>
      </c>
      <c r="D4" s="7" t="s">
        <v>47</v>
      </c>
      <c r="E4" s="9">
        <v>1.5</v>
      </c>
      <c r="F4" s="7" t="s">
        <v>48</v>
      </c>
      <c r="G4" s="7" t="s">
        <v>64</v>
      </c>
      <c r="H4" s="7" t="s">
        <v>50</v>
      </c>
      <c r="I4" s="7" t="s">
        <v>50</v>
      </c>
      <c r="J4" s="9" t="s">
        <v>50</v>
      </c>
      <c r="K4" s="9" t="s">
        <v>51</v>
      </c>
      <c r="L4" s="9">
        <v>44.44</v>
      </c>
      <c r="M4" s="9">
        <v>12000</v>
      </c>
      <c r="N4" s="7">
        <v>6667.2</v>
      </c>
      <c r="O4" s="9">
        <f>M4*(100-L4)/100*E4</f>
      </c>
      <c r="P4" s="7" t="s">
        <v>52</v>
      </c>
      <c r="Q4" s="7">
        <v>7.31</v>
      </c>
      <c r="R4" s="9">
        <v>7.27</v>
      </c>
      <c r="S4" s="7">
        <v>4.56</v>
      </c>
      <c r="T4" s="7" t="s">
        <v>65</v>
      </c>
      <c r="U4" s="7">
        <v>1.006</v>
      </c>
      <c r="V4" s="7">
        <v>62.5</v>
      </c>
      <c r="W4" s="7">
        <v>59</v>
      </c>
      <c r="X4" s="7" t="s">
        <v>54</v>
      </c>
      <c r="Y4" s="7" t="s">
        <v>55</v>
      </c>
      <c r="Z4" s="7" t="s">
        <v>57</v>
      </c>
      <c r="AA4" s="7" t="s">
        <v>56</v>
      </c>
      <c r="AB4" s="7" t="s">
        <v>66</v>
      </c>
      <c r="AC4" s="10" t="s">
        <v>56</v>
      </c>
      <c r="AD4" s="7" t="s">
        <v>56</v>
      </c>
      <c r="AE4" s="7" t="s">
        <v>56</v>
      </c>
      <c r="AF4" s="7" t="s">
        <v>56</v>
      </c>
      <c r="AG4" s="7" t="s">
        <v>56</v>
      </c>
      <c r="AH4" s="7">
        <v>18000</v>
      </c>
      <c r="AI4" s="10" t="s">
        <v>59</v>
      </c>
      <c r="AJ4" s="7" t="s">
        <v>67</v>
      </c>
      <c r="AK4" s="7"/>
      <c r="AL4" s="7"/>
      <c r="AM4" s="7"/>
      <c r="AN4" s="7" t="s">
        <v>68</v>
      </c>
      <c r="AO4" s="7" t="b">
        <v>1</v>
      </c>
      <c r="AP4" s="7">
        <v>1</v>
      </c>
      <c r="AQ4" s="7">
        <v>1</v>
      </c>
      <c r="AR4" s="10" t="s">
        <v>62</v>
      </c>
    </row>
    <row r="5">
      <c r="A5" s="7">
        <v>3</v>
      </c>
      <c r="B5" s="7" t="s">
        <v>69</v>
      </c>
      <c r="C5" s="8" t="s">
        <v>46</v>
      </c>
      <c r="D5" s="7" t="s">
        <v>47</v>
      </c>
      <c r="E5" s="9">
        <v>1.5</v>
      </c>
      <c r="F5" s="7" t="s">
        <v>48</v>
      </c>
      <c r="G5" s="7" t="s">
        <v>70</v>
      </c>
      <c r="H5" s="7" t="s">
        <v>50</v>
      </c>
      <c r="I5" s="7" t="s">
        <v>50</v>
      </c>
      <c r="J5" s="9" t="s">
        <v>50</v>
      </c>
      <c r="K5" s="9" t="s">
        <v>51</v>
      </c>
      <c r="L5" s="9">
        <v>43.67</v>
      </c>
      <c r="M5" s="9">
        <v>15400</v>
      </c>
      <c r="N5" s="7">
        <v>8674.82</v>
      </c>
      <c r="O5" s="9">
        <f>M5*(100-L5)/100*E5</f>
      </c>
      <c r="P5" s="7" t="s">
        <v>52</v>
      </c>
      <c r="Q5" s="7">
        <v>7.3</v>
      </c>
      <c r="R5" s="9">
        <v>7.27</v>
      </c>
      <c r="S5" s="7">
        <v>4.55</v>
      </c>
      <c r="T5" s="7" t="s">
        <v>71</v>
      </c>
      <c r="U5" s="7">
        <v>1.004</v>
      </c>
      <c r="V5" s="7">
        <v>62.5</v>
      </c>
      <c r="W5" s="7">
        <v>57</v>
      </c>
      <c r="X5" s="7" t="s">
        <v>54</v>
      </c>
      <c r="Y5" s="7" t="s">
        <v>55</v>
      </c>
      <c r="Z5" s="7" t="s">
        <v>56</v>
      </c>
      <c r="AA5" s="7" t="s">
        <v>56</v>
      </c>
      <c r="AB5" s="7" t="s">
        <v>72</v>
      </c>
      <c r="AC5" s="10" t="s">
        <v>73</v>
      </c>
      <c r="AD5" s="7" t="s">
        <v>56</v>
      </c>
      <c r="AE5" s="7" t="s">
        <v>56</v>
      </c>
      <c r="AF5" s="7" t="s">
        <v>56</v>
      </c>
      <c r="AG5" s="7" t="s">
        <v>56</v>
      </c>
      <c r="AH5" s="7">
        <v>23100</v>
      </c>
      <c r="AI5" s="10" t="s">
        <v>59</v>
      </c>
      <c r="AJ5" s="7" t="s">
        <v>74</v>
      </c>
      <c r="AK5" s="7"/>
      <c r="AL5" s="7"/>
      <c r="AM5" s="7"/>
      <c r="AN5" s="7" t="s">
        <v>75</v>
      </c>
      <c r="AO5" s="7" t="b">
        <v>1</v>
      </c>
      <c r="AP5" s="7">
        <v>1</v>
      </c>
      <c r="AQ5" s="7">
        <v>1</v>
      </c>
      <c r="AR5" s="10" t="s">
        <v>62</v>
      </c>
    </row>
    <row r="6">
      <c r="A6" s="7">
        <v>4</v>
      </c>
      <c r="B6" s="7" t="s">
        <v>76</v>
      </c>
      <c r="C6" s="8" t="s">
        <v>46</v>
      </c>
      <c r="D6" s="7" t="s">
        <v>47</v>
      </c>
      <c r="E6" s="9">
        <v>1.5</v>
      </c>
      <c r="F6" s="7" t="s">
        <v>48</v>
      </c>
      <c r="G6" s="7" t="s">
        <v>70</v>
      </c>
      <c r="H6" s="7" t="s">
        <v>50</v>
      </c>
      <c r="I6" s="7" t="s">
        <v>50</v>
      </c>
      <c r="J6" s="9" t="s">
        <v>50</v>
      </c>
      <c r="K6" s="9" t="s">
        <v>51</v>
      </c>
      <c r="L6" s="9">
        <v>43.67</v>
      </c>
      <c r="M6" s="9">
        <v>15400</v>
      </c>
      <c r="N6" s="7">
        <v>8674.82</v>
      </c>
      <c r="O6" s="9">
        <f>M6*(100-L6)/100*E6</f>
      </c>
      <c r="P6" s="7" t="s">
        <v>52</v>
      </c>
      <c r="Q6" s="7">
        <v>7.32</v>
      </c>
      <c r="R6" s="9">
        <v>7.29</v>
      </c>
      <c r="S6" s="7">
        <v>4.53</v>
      </c>
      <c r="T6" s="7" t="s">
        <v>77</v>
      </c>
      <c r="U6" s="7">
        <v>1.004</v>
      </c>
      <c r="V6" s="7">
        <v>62.1</v>
      </c>
      <c r="W6" s="7">
        <v>58</v>
      </c>
      <c r="X6" s="7" t="s">
        <v>54</v>
      </c>
      <c r="Y6" s="7" t="s">
        <v>55</v>
      </c>
      <c r="Z6" s="7" t="s">
        <v>56</v>
      </c>
      <c r="AA6" s="7" t="s">
        <v>56</v>
      </c>
      <c r="AB6" s="7" t="s">
        <v>78</v>
      </c>
      <c r="AC6" s="10" t="s">
        <v>73</v>
      </c>
      <c r="AD6" s="7" t="s">
        <v>56</v>
      </c>
      <c r="AE6" s="7" t="s">
        <v>56</v>
      </c>
      <c r="AF6" s="7" t="s">
        <v>56</v>
      </c>
      <c r="AG6" s="7" t="s">
        <v>56</v>
      </c>
      <c r="AH6" s="7">
        <v>23100</v>
      </c>
      <c r="AI6" s="10" t="s">
        <v>59</v>
      </c>
      <c r="AJ6" s="7" t="s">
        <v>79</v>
      </c>
      <c r="AK6" s="7"/>
      <c r="AL6" s="7"/>
      <c r="AM6" s="7"/>
      <c r="AN6" s="7" t="s">
        <v>80</v>
      </c>
      <c r="AO6" s="7" t="b">
        <v>1</v>
      </c>
      <c r="AP6" s="7">
        <v>1</v>
      </c>
      <c r="AQ6" s="7">
        <v>1</v>
      </c>
      <c r="AR6" s="10" t="s">
        <v>62</v>
      </c>
    </row>
    <row r="7">
      <c r="A7" s="7">
        <v>5</v>
      </c>
      <c r="B7" s="7" t="s">
        <v>81</v>
      </c>
      <c r="C7" s="8" t="s">
        <v>46</v>
      </c>
      <c r="D7" s="7" t="s">
        <v>47</v>
      </c>
      <c r="E7" s="9">
        <v>1.5</v>
      </c>
      <c r="F7" s="7" t="s">
        <v>48</v>
      </c>
      <c r="G7" s="7" t="s">
        <v>70</v>
      </c>
      <c r="H7" s="7" t="s">
        <v>50</v>
      </c>
      <c r="I7" s="7" t="s">
        <v>50</v>
      </c>
      <c r="J7" s="9" t="s">
        <v>50</v>
      </c>
      <c r="K7" s="9" t="s">
        <v>51</v>
      </c>
      <c r="L7" s="9">
        <v>40.58</v>
      </c>
      <c r="M7" s="9">
        <v>15400</v>
      </c>
      <c r="N7" s="7">
        <v>9150.68</v>
      </c>
      <c r="O7" s="9">
        <f>M7*(100-L7)/100*E7</f>
      </c>
      <c r="P7" s="7" t="s">
        <v>52</v>
      </c>
      <c r="Q7" s="7">
        <v>7.35</v>
      </c>
      <c r="R7" s="9">
        <v>7.3</v>
      </c>
      <c r="S7" s="7">
        <v>4.54</v>
      </c>
      <c r="T7" s="7" t="s">
        <v>82</v>
      </c>
      <c r="U7" s="7">
        <v>1.007</v>
      </c>
      <c r="V7" s="7">
        <v>62</v>
      </c>
      <c r="W7" s="7">
        <v>60</v>
      </c>
      <c r="X7" s="7" t="s">
        <v>54</v>
      </c>
      <c r="Y7" s="7" t="s">
        <v>55</v>
      </c>
      <c r="Z7" s="7" t="s">
        <v>56</v>
      </c>
      <c r="AA7" s="7" t="s">
        <v>56</v>
      </c>
      <c r="AB7" s="7" t="s">
        <v>72</v>
      </c>
      <c r="AC7" s="10" t="s">
        <v>56</v>
      </c>
      <c r="AD7" s="7" t="s">
        <v>56</v>
      </c>
      <c r="AE7" s="7" t="s">
        <v>56</v>
      </c>
      <c r="AF7" s="7" t="s">
        <v>56</v>
      </c>
      <c r="AG7" s="7" t="s">
        <v>56</v>
      </c>
      <c r="AH7" s="7">
        <v>23100</v>
      </c>
      <c r="AI7" s="10" t="s">
        <v>59</v>
      </c>
      <c r="AJ7" s="7" t="s">
        <v>83</v>
      </c>
      <c r="AK7" s="7"/>
      <c r="AL7" s="7"/>
      <c r="AM7" s="7"/>
      <c r="AN7" s="7" t="s">
        <v>84</v>
      </c>
      <c r="AO7" s="7" t="b">
        <v>1</v>
      </c>
      <c r="AP7" s="7">
        <v>1</v>
      </c>
      <c r="AQ7" s="7">
        <v>1</v>
      </c>
      <c r="AR7" s="10" t="s">
        <v>62</v>
      </c>
    </row>
    <row r="8">
      <c r="A8" s="7">
        <v>6</v>
      </c>
      <c r="B8" s="7" t="s">
        <v>85</v>
      </c>
      <c r="C8" s="8" t="s">
        <v>46</v>
      </c>
      <c r="D8" s="7" t="s">
        <v>47</v>
      </c>
      <c r="E8" s="9">
        <v>1.5</v>
      </c>
      <c r="F8" s="7" t="s">
        <v>86</v>
      </c>
      <c r="G8" s="7" t="s">
        <v>49</v>
      </c>
      <c r="H8" s="7" t="s">
        <v>50</v>
      </c>
      <c r="I8" s="7" t="s">
        <v>50</v>
      </c>
      <c r="J8" s="9" t="s">
        <v>50</v>
      </c>
      <c r="K8" s="9" t="s">
        <v>51</v>
      </c>
      <c r="L8" s="9">
        <v>40.58</v>
      </c>
      <c r="M8" s="9">
        <v>12000</v>
      </c>
      <c r="N8" s="7">
        <v>7130.4</v>
      </c>
      <c r="O8" s="9">
        <f>M8*(100-L8)/100*E8</f>
      </c>
      <c r="P8" s="7" t="s">
        <v>52</v>
      </c>
      <c r="Q8" s="7">
        <v>7.29</v>
      </c>
      <c r="R8" s="9">
        <v>7.26</v>
      </c>
      <c r="S8" s="7">
        <v>4.54</v>
      </c>
      <c r="T8" s="7" t="s">
        <v>87</v>
      </c>
      <c r="U8" s="7">
        <v>1.004</v>
      </c>
      <c r="V8" s="7">
        <v>62.4</v>
      </c>
      <c r="W8" s="7">
        <v>59</v>
      </c>
      <c r="X8" s="7" t="s">
        <v>54</v>
      </c>
      <c r="Y8" s="7" t="s">
        <v>55</v>
      </c>
      <c r="Z8" s="7" t="s">
        <v>56</v>
      </c>
      <c r="AA8" s="7" t="s">
        <v>56</v>
      </c>
      <c r="AB8" s="7" t="s">
        <v>58</v>
      </c>
      <c r="AC8" s="10" t="s">
        <v>56</v>
      </c>
      <c r="AD8" s="7" t="s">
        <v>56</v>
      </c>
      <c r="AE8" s="7" t="s">
        <v>56</v>
      </c>
      <c r="AF8" s="7" t="s">
        <v>56</v>
      </c>
      <c r="AG8" s="7" t="s">
        <v>56</v>
      </c>
      <c r="AH8" s="7">
        <v>18000</v>
      </c>
      <c r="AI8" s="10" t="s">
        <v>59</v>
      </c>
      <c r="AJ8" s="7" t="s">
        <v>88</v>
      </c>
      <c r="AK8" s="7"/>
      <c r="AL8" s="7"/>
      <c r="AM8" s="7"/>
      <c r="AN8" s="7" t="s">
        <v>89</v>
      </c>
      <c r="AO8" s="7" t="b">
        <v>1</v>
      </c>
      <c r="AP8" s="7">
        <v>1</v>
      </c>
      <c r="AQ8" s="7">
        <v>1</v>
      </c>
      <c r="AR8" s="10" t="s">
        <v>62</v>
      </c>
    </row>
    <row r="9">
      <c r="A9" s="7">
        <v>7</v>
      </c>
      <c r="B9" s="7" t="s">
        <v>90</v>
      </c>
      <c r="C9" s="8" t="s">
        <v>46</v>
      </c>
      <c r="D9" s="7" t="s">
        <v>47</v>
      </c>
      <c r="E9" s="9">
        <v>1.5</v>
      </c>
      <c r="F9" s="7" t="s">
        <v>86</v>
      </c>
      <c r="G9" s="7" t="s">
        <v>91</v>
      </c>
      <c r="H9" s="7" t="s">
        <v>50</v>
      </c>
      <c r="I9" s="7" t="s">
        <v>50</v>
      </c>
      <c r="J9" s="9" t="s">
        <v>50</v>
      </c>
      <c r="K9" s="9" t="s">
        <v>51</v>
      </c>
      <c r="L9" s="9">
        <v>42.64</v>
      </c>
      <c r="M9" s="9">
        <v>18700</v>
      </c>
      <c r="N9" s="7">
        <v>10726.32</v>
      </c>
      <c r="O9" s="9">
        <f>M9*(100-L9)/100*E9</f>
      </c>
      <c r="P9" s="7" t="s">
        <v>52</v>
      </c>
      <c r="Q9" s="7">
        <v>7.39</v>
      </c>
      <c r="R9" s="9">
        <v>7.36</v>
      </c>
      <c r="S9" s="7">
        <v>4.52</v>
      </c>
      <c r="T9" s="7" t="s">
        <v>92</v>
      </c>
      <c r="U9" s="7">
        <v>1.004</v>
      </c>
      <c r="V9" s="7">
        <v>61.4</v>
      </c>
      <c r="W9" s="7">
        <v>60</v>
      </c>
      <c r="X9" s="7" t="s">
        <v>54</v>
      </c>
      <c r="Y9" s="7" t="s">
        <v>55</v>
      </c>
      <c r="Z9" s="7" t="s">
        <v>56</v>
      </c>
      <c r="AA9" s="7" t="s">
        <v>56</v>
      </c>
      <c r="AB9" s="7" t="s">
        <v>93</v>
      </c>
      <c r="AC9" s="10" t="s">
        <v>56</v>
      </c>
      <c r="AD9" s="7" t="s">
        <v>56</v>
      </c>
      <c r="AE9" s="7" t="s">
        <v>56</v>
      </c>
      <c r="AF9" s="7" t="s">
        <v>56</v>
      </c>
      <c r="AG9" s="7" t="s">
        <v>56</v>
      </c>
      <c r="AH9" s="7">
        <v>28050</v>
      </c>
      <c r="AI9" s="10" t="s">
        <v>59</v>
      </c>
      <c r="AJ9" s="7" t="s">
        <v>94</v>
      </c>
      <c r="AK9" s="7"/>
      <c r="AL9" s="7"/>
      <c r="AM9" s="7"/>
      <c r="AN9" s="7" t="s">
        <v>95</v>
      </c>
      <c r="AO9" s="7" t="b">
        <v>1</v>
      </c>
      <c r="AP9" s="7">
        <v>1</v>
      </c>
      <c r="AQ9" s="7">
        <v>1</v>
      </c>
      <c r="AR9" s="10" t="s">
        <v>62</v>
      </c>
    </row>
    <row r="10">
      <c r="A10" s="7">
        <v>8</v>
      </c>
      <c r="B10" s="7" t="s">
        <v>96</v>
      </c>
      <c r="C10" s="8" t="s">
        <v>46</v>
      </c>
      <c r="D10" s="7" t="s">
        <v>47</v>
      </c>
      <c r="E10" s="9">
        <v>1.5</v>
      </c>
      <c r="F10" s="7" t="s">
        <v>86</v>
      </c>
      <c r="G10" s="7" t="s">
        <v>97</v>
      </c>
      <c r="H10" s="7" t="s">
        <v>50</v>
      </c>
      <c r="I10" s="7" t="s">
        <v>50</v>
      </c>
      <c r="J10" s="9" t="s">
        <v>50</v>
      </c>
      <c r="K10" s="9" t="s">
        <v>51</v>
      </c>
      <c r="L10" s="9">
        <v>43.41</v>
      </c>
      <c r="M10" s="9">
        <v>15400</v>
      </c>
      <c r="N10" s="7">
        <v>8714.86</v>
      </c>
      <c r="O10" s="9">
        <f>M10*(100-L10)/100*E10</f>
      </c>
      <c r="P10" s="7" t="s">
        <v>52</v>
      </c>
      <c r="Q10" s="7">
        <v>7.41</v>
      </c>
      <c r="R10" s="9">
        <v>7.37</v>
      </c>
      <c r="S10" s="7">
        <v>4.49</v>
      </c>
      <c r="T10" s="7" t="s">
        <v>98</v>
      </c>
      <c r="U10" s="7">
        <v>1.005</v>
      </c>
      <c r="V10" s="7">
        <v>60.8</v>
      </c>
      <c r="W10" s="7">
        <v>60</v>
      </c>
      <c r="X10" s="7" t="s">
        <v>54</v>
      </c>
      <c r="Y10" s="7" t="s">
        <v>55</v>
      </c>
      <c r="Z10" s="7" t="s">
        <v>56</v>
      </c>
      <c r="AA10" s="7" t="s">
        <v>56</v>
      </c>
      <c r="AB10" s="7" t="s">
        <v>99</v>
      </c>
      <c r="AC10" s="10" t="s">
        <v>56</v>
      </c>
      <c r="AD10" s="7" t="s">
        <v>56</v>
      </c>
      <c r="AE10" s="7" t="s">
        <v>56</v>
      </c>
      <c r="AF10" s="7" t="s">
        <v>56</v>
      </c>
      <c r="AG10" s="7" t="s">
        <v>56</v>
      </c>
      <c r="AH10" s="7">
        <v>23100</v>
      </c>
      <c r="AI10" s="10" t="s">
        <v>59</v>
      </c>
      <c r="AJ10" s="7" t="s">
        <v>100</v>
      </c>
      <c r="AK10" s="7"/>
      <c r="AL10" s="7"/>
      <c r="AM10" s="7"/>
      <c r="AN10" s="7" t="s">
        <v>101</v>
      </c>
      <c r="AO10" s="7" t="b">
        <v>1</v>
      </c>
      <c r="AP10" s="7">
        <v>1</v>
      </c>
      <c r="AQ10" s="7">
        <v>1</v>
      </c>
      <c r="AR10" s="10" t="s">
        <v>62</v>
      </c>
    </row>
    <row r="11">
      <c r="A11" s="7">
        <v>9</v>
      </c>
      <c r="B11" s="7" t="s">
        <v>102</v>
      </c>
      <c r="C11" s="8" t="s">
        <v>46</v>
      </c>
      <c r="D11" s="7" t="s">
        <v>47</v>
      </c>
      <c r="E11" s="9">
        <v>1.5</v>
      </c>
      <c r="F11" s="7" t="s">
        <v>86</v>
      </c>
      <c r="G11" s="7" t="s">
        <v>70</v>
      </c>
      <c r="H11" s="7" t="s">
        <v>50</v>
      </c>
      <c r="I11" s="7" t="s">
        <v>50</v>
      </c>
      <c r="J11" s="9" t="s">
        <v>50</v>
      </c>
      <c r="K11" s="9" t="s">
        <v>51</v>
      </c>
      <c r="L11" s="9">
        <v>42.12</v>
      </c>
      <c r="M11" s="9">
        <v>15400</v>
      </c>
      <c r="N11" s="7">
        <v>8913.52</v>
      </c>
      <c r="O11" s="9">
        <f>M11*(100-L11)/100*E11</f>
      </c>
      <c r="P11" s="7" t="s">
        <v>52</v>
      </c>
      <c r="Q11" s="7">
        <v>7.28</v>
      </c>
      <c r="R11" s="9">
        <v>7.23</v>
      </c>
      <c r="S11" s="7">
        <v>4.55</v>
      </c>
      <c r="T11" s="7" t="s">
        <v>103</v>
      </c>
      <c r="U11" s="7">
        <v>1.007</v>
      </c>
      <c r="V11" s="7">
        <v>62.7</v>
      </c>
      <c r="W11" s="7">
        <v>58</v>
      </c>
      <c r="X11" s="7" t="s">
        <v>54</v>
      </c>
      <c r="Y11" s="7" t="s">
        <v>55</v>
      </c>
      <c r="Z11" s="7" t="s">
        <v>56</v>
      </c>
      <c r="AA11" s="7" t="s">
        <v>56</v>
      </c>
      <c r="AB11" s="7" t="s">
        <v>104</v>
      </c>
      <c r="AC11" s="10" t="s">
        <v>105</v>
      </c>
      <c r="AD11" s="7" t="s">
        <v>56</v>
      </c>
      <c r="AE11" s="7" t="s">
        <v>56</v>
      </c>
      <c r="AF11" s="7" t="s">
        <v>56</v>
      </c>
      <c r="AG11" s="7" t="s">
        <v>56</v>
      </c>
      <c r="AH11" s="7">
        <v>23100</v>
      </c>
      <c r="AI11" s="10" t="s">
        <v>59</v>
      </c>
      <c r="AJ11" s="7" t="s">
        <v>106</v>
      </c>
      <c r="AK11" s="7"/>
      <c r="AL11" s="7"/>
      <c r="AM11" s="7"/>
      <c r="AN11" s="7" t="s">
        <v>107</v>
      </c>
      <c r="AO11" s="7" t="b">
        <v>1</v>
      </c>
      <c r="AP11" s="7">
        <v>1</v>
      </c>
      <c r="AQ11" s="7">
        <v>1</v>
      </c>
      <c r="AR11" s="10" t="s">
        <v>62</v>
      </c>
    </row>
    <row r="12">
      <c r="A12" s="7">
        <v>10</v>
      </c>
      <c r="B12" s="7" t="s">
        <v>108</v>
      </c>
      <c r="C12" s="8" t="s">
        <v>46</v>
      </c>
      <c r="D12" s="7" t="s">
        <v>47</v>
      </c>
      <c r="E12" s="9">
        <v>1.5</v>
      </c>
      <c r="F12" s="7" t="s">
        <v>86</v>
      </c>
      <c r="G12" s="7" t="s">
        <v>70</v>
      </c>
      <c r="H12" s="7" t="s">
        <v>50</v>
      </c>
      <c r="I12" s="7" t="s">
        <v>50</v>
      </c>
      <c r="J12" s="9" t="s">
        <v>50</v>
      </c>
      <c r="K12" s="9" t="s">
        <v>51</v>
      </c>
      <c r="L12" s="9">
        <v>42.12</v>
      </c>
      <c r="M12" s="9">
        <v>15400</v>
      </c>
      <c r="N12" s="7">
        <v>8913.52</v>
      </c>
      <c r="O12" s="9">
        <f>M12*(100-L12)/100*E12</f>
      </c>
      <c r="P12" s="7" t="s">
        <v>52</v>
      </c>
      <c r="Q12" s="7">
        <v>7.28</v>
      </c>
      <c r="R12" s="9">
        <v>7.23</v>
      </c>
      <c r="S12" s="7">
        <v>4.55</v>
      </c>
      <c r="T12" s="7" t="s">
        <v>109</v>
      </c>
      <c r="U12" s="7">
        <v>1.007</v>
      </c>
      <c r="V12" s="7">
        <v>62.6</v>
      </c>
      <c r="W12" s="7">
        <v>58</v>
      </c>
      <c r="X12" s="7" t="s">
        <v>54</v>
      </c>
      <c r="Y12" s="7" t="s">
        <v>55</v>
      </c>
      <c r="Z12" s="7" t="s">
        <v>56</v>
      </c>
      <c r="AA12" s="7" t="s">
        <v>56</v>
      </c>
      <c r="AB12" s="7" t="s">
        <v>110</v>
      </c>
      <c r="AC12" s="10" t="s">
        <v>105</v>
      </c>
      <c r="AD12" s="7" t="s">
        <v>56</v>
      </c>
      <c r="AE12" s="7" t="s">
        <v>56</v>
      </c>
      <c r="AF12" s="7" t="s">
        <v>56</v>
      </c>
      <c r="AG12" s="7" t="s">
        <v>56</v>
      </c>
      <c r="AH12" s="7">
        <v>23100</v>
      </c>
      <c r="AI12" s="10" t="s">
        <v>59</v>
      </c>
      <c r="AJ12" s="7" t="s">
        <v>111</v>
      </c>
      <c r="AK12" s="7"/>
      <c r="AL12" s="7"/>
      <c r="AM12" s="7"/>
      <c r="AN12" s="7" t="s">
        <v>112</v>
      </c>
      <c r="AO12" s="7" t="b">
        <v>1</v>
      </c>
      <c r="AP12" s="7">
        <v>1</v>
      </c>
      <c r="AQ12" s="7">
        <v>1</v>
      </c>
      <c r="AR12" s="10" t="s">
        <v>62</v>
      </c>
    </row>
    <row r="13">
      <c r="A13" s="7">
        <v>11</v>
      </c>
      <c r="B13" s="7" t="s">
        <v>113</v>
      </c>
      <c r="C13" s="8" t="s">
        <v>46</v>
      </c>
      <c r="D13" s="7" t="s">
        <v>47</v>
      </c>
      <c r="E13" s="9">
        <v>1.5</v>
      </c>
      <c r="F13" s="7" t="s">
        <v>86</v>
      </c>
      <c r="G13" s="7" t="s">
        <v>70</v>
      </c>
      <c r="H13" s="7" t="s">
        <v>50</v>
      </c>
      <c r="I13" s="7" t="s">
        <v>50</v>
      </c>
      <c r="J13" s="9" t="s">
        <v>50</v>
      </c>
      <c r="K13" s="9" t="s">
        <v>51</v>
      </c>
      <c r="L13" s="9">
        <v>42.38</v>
      </c>
      <c r="M13" s="9">
        <v>15400</v>
      </c>
      <c r="N13" s="7">
        <v>8873.48</v>
      </c>
      <c r="O13" s="9">
        <f>M13*(100-L13)/100*E13</f>
      </c>
      <c r="P13" s="7" t="s">
        <v>52</v>
      </c>
      <c r="Q13" s="7">
        <v>7.29</v>
      </c>
      <c r="R13" s="9">
        <v>7.24</v>
      </c>
      <c r="S13" s="7">
        <v>4.51</v>
      </c>
      <c r="T13" s="7" t="s">
        <v>114</v>
      </c>
      <c r="U13" s="7">
        <v>1.007</v>
      </c>
      <c r="V13" s="7">
        <v>62</v>
      </c>
      <c r="W13" s="7">
        <v>59</v>
      </c>
      <c r="X13" s="7" t="s">
        <v>54</v>
      </c>
      <c r="Y13" s="7" t="s">
        <v>55</v>
      </c>
      <c r="Z13" s="7" t="s">
        <v>56</v>
      </c>
      <c r="AA13" s="7" t="s">
        <v>56</v>
      </c>
      <c r="AB13" s="7" t="s">
        <v>115</v>
      </c>
      <c r="AC13" s="10" t="s">
        <v>105</v>
      </c>
      <c r="AD13" s="7" t="s">
        <v>56</v>
      </c>
      <c r="AE13" s="7" t="s">
        <v>56</v>
      </c>
      <c r="AF13" s="7" t="s">
        <v>56</v>
      </c>
      <c r="AG13" s="7" t="s">
        <v>56</v>
      </c>
      <c r="AH13" s="7">
        <v>23100</v>
      </c>
      <c r="AI13" s="10" t="s">
        <v>59</v>
      </c>
      <c r="AJ13" s="7" t="s">
        <v>116</v>
      </c>
      <c r="AK13" s="7"/>
      <c r="AL13" s="7"/>
      <c r="AM13" s="7"/>
      <c r="AN13" s="7" t="s">
        <v>117</v>
      </c>
      <c r="AO13" s="7" t="b">
        <v>1</v>
      </c>
      <c r="AP13" s="7">
        <v>1</v>
      </c>
      <c r="AQ13" s="7">
        <v>1</v>
      </c>
      <c r="AR13" s="10" t="s">
        <v>62</v>
      </c>
    </row>
    <row r="14">
      <c r="A14" s="7">
        <v>12</v>
      </c>
      <c r="B14" s="7" t="s">
        <v>118</v>
      </c>
      <c r="C14" s="8" t="s">
        <v>46</v>
      </c>
      <c r="D14" s="7" t="s">
        <v>47</v>
      </c>
      <c r="E14" s="9">
        <v>1.5</v>
      </c>
      <c r="F14" s="7" t="s">
        <v>119</v>
      </c>
      <c r="G14" s="7" t="s">
        <v>120</v>
      </c>
      <c r="H14" s="7" t="s">
        <v>50</v>
      </c>
      <c r="I14" s="7" t="s">
        <v>50</v>
      </c>
      <c r="J14" s="9" t="s">
        <v>50</v>
      </c>
      <c r="K14" s="9" t="s">
        <v>51</v>
      </c>
      <c r="L14" s="9">
        <v>43.92</v>
      </c>
      <c r="M14" s="9">
        <v>12200</v>
      </c>
      <c r="N14" s="7">
        <v>6841.76</v>
      </c>
      <c r="O14" s="9">
        <f>M14*(100-L14)/100*E14</f>
      </c>
      <c r="P14" s="7" t="s">
        <v>52</v>
      </c>
      <c r="Q14" s="7">
        <v>7.32</v>
      </c>
      <c r="R14" s="9">
        <v>7.27</v>
      </c>
      <c r="S14" s="7">
        <v>4.52</v>
      </c>
      <c r="T14" s="7" t="s">
        <v>121</v>
      </c>
      <c r="U14" s="7">
        <v>1.007</v>
      </c>
      <c r="V14" s="7">
        <v>62</v>
      </c>
      <c r="W14" s="7">
        <v>61</v>
      </c>
      <c r="X14" s="7" t="s">
        <v>54</v>
      </c>
      <c r="Y14" s="7" t="s">
        <v>55</v>
      </c>
      <c r="Z14" s="7" t="s">
        <v>56</v>
      </c>
      <c r="AA14" s="7" t="s">
        <v>56</v>
      </c>
      <c r="AB14" s="7" t="s">
        <v>122</v>
      </c>
      <c r="AC14" s="7" t="s">
        <v>56</v>
      </c>
      <c r="AD14" s="7" t="s">
        <v>56</v>
      </c>
      <c r="AE14" s="7" t="s">
        <v>56</v>
      </c>
      <c r="AF14" s="7" t="s">
        <v>123</v>
      </c>
      <c r="AG14" s="7" t="s">
        <v>56</v>
      </c>
      <c r="AH14" s="7">
        <v>18300</v>
      </c>
      <c r="AI14" s="10" t="s">
        <v>59</v>
      </c>
      <c r="AJ14" s="7" t="s">
        <v>124</v>
      </c>
      <c r="AK14" s="7"/>
      <c r="AL14" s="7"/>
      <c r="AM14" s="7"/>
      <c r="AN14" s="7" t="s">
        <v>125</v>
      </c>
      <c r="AO14" s="7" t="b">
        <v>1</v>
      </c>
      <c r="AP14" s="7">
        <v>1</v>
      </c>
      <c r="AQ14" s="7">
        <v>1</v>
      </c>
      <c r="AR14" s="10" t="s">
        <v>62</v>
      </c>
    </row>
    <row r="15">
      <c r="A15" s="7">
        <v>13</v>
      </c>
      <c r="B15" s="7" t="s">
        <v>126</v>
      </c>
      <c r="C15" s="8" t="s">
        <v>46</v>
      </c>
      <c r="D15" s="7" t="s">
        <v>47</v>
      </c>
      <c r="E15" s="9">
        <v>1.5</v>
      </c>
      <c r="F15" s="7" t="s">
        <v>119</v>
      </c>
      <c r="G15" s="7" t="s">
        <v>127</v>
      </c>
      <c r="H15" s="7" t="s">
        <v>50</v>
      </c>
      <c r="I15" s="7" t="s">
        <v>50</v>
      </c>
      <c r="J15" s="9" t="s">
        <v>50</v>
      </c>
      <c r="K15" s="9" t="s">
        <v>51</v>
      </c>
      <c r="L15" s="9">
        <v>43.92</v>
      </c>
      <c r="M15" s="9">
        <v>17300</v>
      </c>
      <c r="N15" s="7">
        <v>9701.84</v>
      </c>
      <c r="O15" s="9">
        <f>M15*(100-L15)/100*E15</f>
      </c>
      <c r="P15" s="7" t="s">
        <v>52</v>
      </c>
      <c r="Q15" s="7">
        <v>7.29</v>
      </c>
      <c r="R15" s="9">
        <v>7.26</v>
      </c>
      <c r="S15" s="7">
        <v>4.54</v>
      </c>
      <c r="T15" s="7" t="s">
        <v>128</v>
      </c>
      <c r="U15" s="7">
        <v>1.004</v>
      </c>
      <c r="V15" s="7">
        <v>62.4</v>
      </c>
      <c r="W15" s="7">
        <v>59</v>
      </c>
      <c r="X15" s="7" t="s">
        <v>54</v>
      </c>
      <c r="Y15" s="7" t="s">
        <v>55</v>
      </c>
      <c r="Z15" s="7" t="s">
        <v>56</v>
      </c>
      <c r="AA15" s="7" t="s">
        <v>56</v>
      </c>
      <c r="AB15" s="7" t="s">
        <v>78</v>
      </c>
      <c r="AC15" s="10" t="s">
        <v>105</v>
      </c>
      <c r="AD15" s="7" t="s">
        <v>56</v>
      </c>
      <c r="AE15" s="7" t="s">
        <v>56</v>
      </c>
      <c r="AF15" s="7" t="s">
        <v>56</v>
      </c>
      <c r="AG15" s="7" t="s">
        <v>56</v>
      </c>
      <c r="AH15" s="7">
        <v>25950</v>
      </c>
      <c r="AI15" s="10" t="s">
        <v>59</v>
      </c>
      <c r="AJ15" s="7" t="s">
        <v>129</v>
      </c>
      <c r="AK15" s="7"/>
      <c r="AL15" s="7"/>
      <c r="AM15" s="7"/>
      <c r="AN15" s="7" t="s">
        <v>130</v>
      </c>
      <c r="AO15" s="7" t="b">
        <v>1</v>
      </c>
      <c r="AP15" s="7">
        <v>1</v>
      </c>
      <c r="AQ15" s="7">
        <v>1</v>
      </c>
      <c r="AR15" s="10" t="s">
        <v>62</v>
      </c>
    </row>
    <row r="16">
      <c r="A16" s="7">
        <v>14</v>
      </c>
      <c r="B16" s="7" t="s">
        <v>131</v>
      </c>
      <c r="C16" s="8" t="s">
        <v>46</v>
      </c>
      <c r="D16" s="7" t="s">
        <v>47</v>
      </c>
      <c r="E16" s="9">
        <v>1.5</v>
      </c>
      <c r="F16" s="7" t="s">
        <v>119</v>
      </c>
      <c r="G16" s="7" t="s">
        <v>91</v>
      </c>
      <c r="H16" s="7" t="s">
        <v>50</v>
      </c>
      <c r="I16" s="7" t="s">
        <v>50</v>
      </c>
      <c r="J16" s="9" t="s">
        <v>50</v>
      </c>
      <c r="K16" s="9" t="s">
        <v>51</v>
      </c>
      <c r="L16" s="9">
        <v>43.67</v>
      </c>
      <c r="M16" s="9">
        <v>17300</v>
      </c>
      <c r="N16" s="7">
        <v>9745.09</v>
      </c>
      <c r="O16" s="9">
        <f>M16*(100-L16)/100*E16</f>
      </c>
      <c r="P16" s="7" t="s">
        <v>52</v>
      </c>
      <c r="Q16" s="7">
        <v>7.27</v>
      </c>
      <c r="R16" s="9">
        <v>7.23</v>
      </c>
      <c r="S16" s="7">
        <v>4.54</v>
      </c>
      <c r="T16" s="7" t="s">
        <v>132</v>
      </c>
      <c r="U16" s="7">
        <v>1.006</v>
      </c>
      <c r="V16" s="7">
        <v>62.6</v>
      </c>
      <c r="W16" s="7">
        <v>59</v>
      </c>
      <c r="X16" s="7" t="s">
        <v>54</v>
      </c>
      <c r="Y16" s="7" t="s">
        <v>55</v>
      </c>
      <c r="Z16" s="7" t="s">
        <v>56</v>
      </c>
      <c r="AA16" s="7" t="s">
        <v>56</v>
      </c>
      <c r="AB16" s="7" t="s">
        <v>93</v>
      </c>
      <c r="AC16" s="10" t="s">
        <v>105</v>
      </c>
      <c r="AD16" s="7" t="s">
        <v>56</v>
      </c>
      <c r="AE16" s="7" t="s">
        <v>56</v>
      </c>
      <c r="AF16" s="7" t="s">
        <v>56</v>
      </c>
      <c r="AG16" s="7" t="s">
        <v>56</v>
      </c>
      <c r="AH16" s="7">
        <v>25950</v>
      </c>
      <c r="AI16" s="10" t="s">
        <v>59</v>
      </c>
      <c r="AJ16" s="7" t="s">
        <v>133</v>
      </c>
      <c r="AK16" s="7"/>
      <c r="AL16" s="7"/>
      <c r="AM16" s="7"/>
      <c r="AN16" s="7" t="s">
        <v>134</v>
      </c>
      <c r="AO16" s="7" t="b">
        <v>1</v>
      </c>
      <c r="AP16" s="7">
        <v>1</v>
      </c>
      <c r="AQ16" s="7">
        <v>1</v>
      </c>
      <c r="AR16" s="10" t="s">
        <v>62</v>
      </c>
    </row>
    <row r="17">
      <c r="A17" s="7">
        <v>15</v>
      </c>
      <c r="B17" s="7" t="s">
        <v>135</v>
      </c>
      <c r="C17" s="8" t="s">
        <v>46</v>
      </c>
      <c r="D17" s="7" t="s">
        <v>47</v>
      </c>
      <c r="E17" s="9">
        <v>1.5</v>
      </c>
      <c r="F17" s="7" t="s">
        <v>136</v>
      </c>
      <c r="G17" s="7" t="s">
        <v>120</v>
      </c>
      <c r="H17" s="7" t="s">
        <v>50</v>
      </c>
      <c r="I17" s="7" t="s">
        <v>50</v>
      </c>
      <c r="J17" s="9" t="s">
        <v>50</v>
      </c>
      <c r="K17" s="9" t="s">
        <v>51</v>
      </c>
      <c r="L17" s="9">
        <v>41.61</v>
      </c>
      <c r="M17" s="9">
        <v>12200</v>
      </c>
      <c r="N17" s="7">
        <v>7123.58</v>
      </c>
      <c r="O17" s="9">
        <f>M17*(100-L17)/100*E17</f>
      </c>
      <c r="P17" s="7" t="s">
        <v>52</v>
      </c>
      <c r="Q17" s="7">
        <v>7.28</v>
      </c>
      <c r="R17" s="9">
        <v>7.23</v>
      </c>
      <c r="S17" s="7">
        <v>4.55</v>
      </c>
      <c r="T17" s="7" t="s">
        <v>137</v>
      </c>
      <c r="U17" s="7">
        <v>1.007</v>
      </c>
      <c r="V17" s="7">
        <v>62.8</v>
      </c>
      <c r="W17" s="7">
        <v>59</v>
      </c>
      <c r="X17" s="7" t="s">
        <v>54</v>
      </c>
      <c r="Y17" s="7" t="s">
        <v>55</v>
      </c>
      <c r="Z17" s="7" t="s">
        <v>56</v>
      </c>
      <c r="AA17" s="7" t="s">
        <v>56</v>
      </c>
      <c r="AB17" s="7" t="s">
        <v>58</v>
      </c>
      <c r="AC17" s="10" t="s">
        <v>56</v>
      </c>
      <c r="AD17" s="7" t="s">
        <v>56</v>
      </c>
      <c r="AE17" s="7" t="s">
        <v>56</v>
      </c>
      <c r="AF17" s="7" t="s">
        <v>56</v>
      </c>
      <c r="AG17" s="7" t="s">
        <v>56</v>
      </c>
      <c r="AH17" s="7">
        <v>18300</v>
      </c>
      <c r="AI17" s="10" t="s">
        <v>59</v>
      </c>
      <c r="AJ17" s="7" t="s">
        <v>138</v>
      </c>
      <c r="AK17" s="7"/>
      <c r="AL17" s="7"/>
      <c r="AM17" s="7"/>
      <c r="AN17" s="7" t="s">
        <v>139</v>
      </c>
      <c r="AO17" s="7" t="b">
        <v>1</v>
      </c>
      <c r="AP17" s="7">
        <v>1</v>
      </c>
      <c r="AQ17" s="7">
        <v>1</v>
      </c>
      <c r="AR17" s="10" t="s">
        <v>62</v>
      </c>
    </row>
    <row r="18">
      <c r="A18" s="7">
        <v>16</v>
      </c>
      <c r="B18" s="7" t="s">
        <v>140</v>
      </c>
      <c r="C18" s="8" t="s">
        <v>46</v>
      </c>
      <c r="D18" s="7" t="s">
        <v>47</v>
      </c>
      <c r="E18" s="9">
        <v>1.5</v>
      </c>
      <c r="F18" s="7" t="s">
        <v>136</v>
      </c>
      <c r="G18" s="7" t="s">
        <v>141</v>
      </c>
      <c r="H18" s="7" t="s">
        <v>50</v>
      </c>
      <c r="I18" s="7" t="s">
        <v>50</v>
      </c>
      <c r="J18" s="9" t="s">
        <v>50</v>
      </c>
      <c r="K18" s="9" t="s">
        <v>51</v>
      </c>
      <c r="L18" s="9">
        <v>40.58</v>
      </c>
      <c r="M18" s="9">
        <v>11000</v>
      </c>
      <c r="N18" s="7">
        <v>6536.2</v>
      </c>
      <c r="O18" s="9">
        <f>M18*(100-L18)/100*E18</f>
      </c>
      <c r="P18" s="7" t="s">
        <v>52</v>
      </c>
      <c r="Q18" s="7">
        <v>7.28</v>
      </c>
      <c r="R18" s="9">
        <v>7.23</v>
      </c>
      <c r="S18" s="7">
        <v>4.56</v>
      </c>
      <c r="T18" s="7" t="s">
        <v>142</v>
      </c>
      <c r="U18" s="7">
        <v>1.007</v>
      </c>
      <c r="V18" s="7">
        <v>62.9</v>
      </c>
      <c r="W18" s="7">
        <v>58</v>
      </c>
      <c r="X18" s="7" t="s">
        <v>54</v>
      </c>
      <c r="Y18" s="7" t="s">
        <v>55</v>
      </c>
      <c r="Z18" s="7" t="s">
        <v>56</v>
      </c>
      <c r="AA18" s="7" t="s">
        <v>56</v>
      </c>
      <c r="AB18" s="7" t="s">
        <v>143</v>
      </c>
      <c r="AC18" s="10" t="s">
        <v>56</v>
      </c>
      <c r="AD18" s="7" t="s">
        <v>56</v>
      </c>
      <c r="AE18" s="7" t="s">
        <v>56</v>
      </c>
      <c r="AF18" s="7" t="s">
        <v>56</v>
      </c>
      <c r="AG18" s="7" t="s">
        <v>56</v>
      </c>
      <c r="AH18" s="7">
        <v>16500</v>
      </c>
      <c r="AI18" s="10" t="s">
        <v>59</v>
      </c>
      <c r="AJ18" s="7" t="s">
        <v>144</v>
      </c>
      <c r="AK18" s="7"/>
      <c r="AL18" s="7"/>
      <c r="AM18" s="7"/>
      <c r="AN18" s="7" t="s">
        <v>145</v>
      </c>
      <c r="AO18" s="7" t="b">
        <v>1</v>
      </c>
      <c r="AP18" s="7">
        <v>1</v>
      </c>
      <c r="AQ18" s="7">
        <v>1</v>
      </c>
      <c r="AR18" s="10" t="s">
        <v>62</v>
      </c>
    </row>
    <row r="19">
      <c r="A19" s="7">
        <v>17</v>
      </c>
      <c r="B19" s="7" t="s">
        <v>146</v>
      </c>
      <c r="C19" s="8" t="s">
        <v>46</v>
      </c>
      <c r="D19" s="7" t="s">
        <v>47</v>
      </c>
      <c r="E19" s="9">
        <v>1.5</v>
      </c>
      <c r="F19" s="7" t="s">
        <v>136</v>
      </c>
      <c r="G19" s="7" t="s">
        <v>49</v>
      </c>
      <c r="H19" s="7" t="s">
        <v>50</v>
      </c>
      <c r="I19" s="7" t="s">
        <v>50</v>
      </c>
      <c r="J19" s="9" t="s">
        <v>50</v>
      </c>
      <c r="K19" s="9" t="s">
        <v>51</v>
      </c>
      <c r="L19" s="9">
        <v>39.55</v>
      </c>
      <c r="M19" s="9">
        <v>11000</v>
      </c>
      <c r="N19" s="7">
        <v>6649.5</v>
      </c>
      <c r="O19" s="9">
        <f>M19*(100-L19)/100*E19</f>
      </c>
      <c r="P19" s="7" t="s">
        <v>52</v>
      </c>
      <c r="Q19" s="7">
        <v>7.28</v>
      </c>
      <c r="R19" s="9">
        <v>7.23</v>
      </c>
      <c r="S19" s="7">
        <v>4.54</v>
      </c>
      <c r="T19" s="7" t="s">
        <v>147</v>
      </c>
      <c r="U19" s="7">
        <v>1.007</v>
      </c>
      <c r="V19" s="7">
        <v>62.5</v>
      </c>
      <c r="W19" s="7">
        <v>58</v>
      </c>
      <c r="X19" s="7" t="s">
        <v>54</v>
      </c>
      <c r="Y19" s="7" t="s">
        <v>55</v>
      </c>
      <c r="Z19" s="7" t="s">
        <v>56</v>
      </c>
      <c r="AA19" s="7" t="s">
        <v>56</v>
      </c>
      <c r="AB19" s="7" t="s">
        <v>148</v>
      </c>
      <c r="AC19" s="10" t="s">
        <v>105</v>
      </c>
      <c r="AD19" s="7" t="s">
        <v>56</v>
      </c>
      <c r="AE19" s="7" t="s">
        <v>56</v>
      </c>
      <c r="AF19" s="7" t="s">
        <v>56</v>
      </c>
      <c r="AG19" s="7" t="s">
        <v>56</v>
      </c>
      <c r="AH19" s="7">
        <v>16500</v>
      </c>
      <c r="AI19" s="10" t="s">
        <v>59</v>
      </c>
      <c r="AJ19" s="7" t="s">
        <v>149</v>
      </c>
      <c r="AK19" s="7"/>
      <c r="AL19" s="7"/>
      <c r="AM19" s="7"/>
      <c r="AN19" s="7" t="s">
        <v>150</v>
      </c>
      <c r="AO19" s="7" t="b">
        <v>1</v>
      </c>
      <c r="AP19" s="7">
        <v>1</v>
      </c>
      <c r="AQ19" s="7">
        <v>1</v>
      </c>
      <c r="AR19" s="10" t="s">
        <v>62</v>
      </c>
    </row>
    <row r="20">
      <c r="A20" s="7">
        <v>18</v>
      </c>
      <c r="B20" s="7" t="s">
        <v>151</v>
      </c>
      <c r="C20" s="8" t="s">
        <v>46</v>
      </c>
      <c r="D20" s="7" t="s">
        <v>47</v>
      </c>
      <c r="E20" s="9">
        <v>1.5</v>
      </c>
      <c r="F20" s="7" t="s">
        <v>136</v>
      </c>
      <c r="G20" s="7" t="s">
        <v>49</v>
      </c>
      <c r="H20" s="7" t="s">
        <v>50</v>
      </c>
      <c r="I20" s="7" t="s">
        <v>50</v>
      </c>
      <c r="J20" s="9" t="s">
        <v>50</v>
      </c>
      <c r="K20" s="9" t="s">
        <v>51</v>
      </c>
      <c r="L20" s="9">
        <v>43.15</v>
      </c>
      <c r="M20" s="9">
        <v>11000</v>
      </c>
      <c r="N20" s="7">
        <v>6253.5</v>
      </c>
      <c r="O20" s="9">
        <f>M20*(100-L20)/100*E20</f>
      </c>
      <c r="P20" s="7" t="s">
        <v>52</v>
      </c>
      <c r="Q20" s="7">
        <v>7.32</v>
      </c>
      <c r="R20" s="9">
        <v>7.25</v>
      </c>
      <c r="S20" s="7">
        <v>4.56</v>
      </c>
      <c r="T20" s="7" t="s">
        <v>152</v>
      </c>
      <c r="U20" s="7">
        <v>1.01</v>
      </c>
      <c r="V20" s="7">
        <v>62.5</v>
      </c>
      <c r="W20" s="7">
        <v>57</v>
      </c>
      <c r="X20" s="7" t="s">
        <v>54</v>
      </c>
      <c r="Y20" s="7" t="s">
        <v>55</v>
      </c>
      <c r="Z20" s="7" t="s">
        <v>57</v>
      </c>
      <c r="AA20" s="7" t="s">
        <v>56</v>
      </c>
      <c r="AB20" s="7" t="s">
        <v>148</v>
      </c>
      <c r="AC20" s="10" t="s">
        <v>105</v>
      </c>
      <c r="AD20" s="7" t="s">
        <v>56</v>
      </c>
      <c r="AE20" s="7" t="s">
        <v>56</v>
      </c>
      <c r="AF20" s="7" t="s">
        <v>56</v>
      </c>
      <c r="AG20" s="7" t="s">
        <v>56</v>
      </c>
      <c r="AH20" s="7">
        <v>16500</v>
      </c>
      <c r="AI20" s="10" t="s">
        <v>59</v>
      </c>
      <c r="AJ20" s="7" t="s">
        <v>153</v>
      </c>
      <c r="AK20" s="7"/>
      <c r="AL20" s="7"/>
      <c r="AM20" s="7"/>
      <c r="AN20" s="7" t="s">
        <v>154</v>
      </c>
      <c r="AO20" s="7" t="b">
        <v>1</v>
      </c>
      <c r="AP20" s="7">
        <v>1</v>
      </c>
      <c r="AQ20" s="7">
        <v>1</v>
      </c>
      <c r="AR20" s="10" t="s">
        <v>62</v>
      </c>
    </row>
    <row r="21">
      <c r="A21" s="7">
        <v>19</v>
      </c>
      <c r="B21" s="7" t="s">
        <v>155</v>
      </c>
      <c r="C21" s="8" t="s">
        <v>46</v>
      </c>
      <c r="D21" s="7" t="s">
        <v>47</v>
      </c>
      <c r="E21" s="9">
        <v>1.5</v>
      </c>
      <c r="F21" s="7" t="s">
        <v>136</v>
      </c>
      <c r="G21" s="7" t="s">
        <v>49</v>
      </c>
      <c r="H21" s="7" t="s">
        <v>50</v>
      </c>
      <c r="I21" s="7" t="s">
        <v>50</v>
      </c>
      <c r="J21" s="9" t="s">
        <v>50</v>
      </c>
      <c r="K21" s="9" t="s">
        <v>51</v>
      </c>
      <c r="L21" s="9">
        <v>42.64</v>
      </c>
      <c r="M21" s="9">
        <v>11000</v>
      </c>
      <c r="N21" s="7">
        <v>6309.6</v>
      </c>
      <c r="O21" s="9">
        <f>M21*(100-L21)/100*E21</f>
      </c>
      <c r="P21" s="7" t="s">
        <v>52</v>
      </c>
      <c r="Q21" s="7">
        <v>7.35</v>
      </c>
      <c r="R21" s="9">
        <v>7.3</v>
      </c>
      <c r="S21" s="7">
        <v>4.5</v>
      </c>
      <c r="T21" s="7" t="s">
        <v>156</v>
      </c>
      <c r="U21" s="7">
        <v>1.007</v>
      </c>
      <c r="V21" s="7">
        <v>61.4</v>
      </c>
      <c r="W21" s="7">
        <v>61</v>
      </c>
      <c r="X21" s="7" t="s">
        <v>54</v>
      </c>
      <c r="Y21" s="7" t="s">
        <v>55</v>
      </c>
      <c r="Z21" s="7" t="s">
        <v>56</v>
      </c>
      <c r="AA21" s="7" t="s">
        <v>56</v>
      </c>
      <c r="AB21" s="7" t="s">
        <v>157</v>
      </c>
      <c r="AC21" s="10" t="s">
        <v>56</v>
      </c>
      <c r="AD21" s="7" t="s">
        <v>56</v>
      </c>
      <c r="AE21" s="7" t="s">
        <v>56</v>
      </c>
      <c r="AF21" s="7" t="s">
        <v>123</v>
      </c>
      <c r="AG21" s="7" t="s">
        <v>123</v>
      </c>
      <c r="AH21" s="7">
        <v>16500</v>
      </c>
      <c r="AI21" s="10" t="s">
        <v>59</v>
      </c>
      <c r="AJ21" s="7" t="s">
        <v>158</v>
      </c>
      <c r="AK21" s="7"/>
      <c r="AL21" s="7"/>
      <c r="AM21" s="7"/>
      <c r="AN21" s="7" t="s">
        <v>159</v>
      </c>
      <c r="AO21" s="7" t="b">
        <v>1</v>
      </c>
      <c r="AP21" s="7">
        <v>1</v>
      </c>
      <c r="AQ21" s="7">
        <v>1</v>
      </c>
      <c r="AR21" s="10" t="s">
        <v>62</v>
      </c>
    </row>
    <row r="22">
      <c r="A22" s="7">
        <v>20</v>
      </c>
      <c r="B22" s="7" t="s">
        <v>160</v>
      </c>
      <c r="C22" s="8" t="s">
        <v>46</v>
      </c>
      <c r="D22" s="7" t="s">
        <v>47</v>
      </c>
      <c r="E22" s="9">
        <v>1.5</v>
      </c>
      <c r="F22" s="7" t="s">
        <v>136</v>
      </c>
      <c r="G22" s="7" t="s">
        <v>127</v>
      </c>
      <c r="H22" s="7" t="s">
        <v>50</v>
      </c>
      <c r="I22" s="7" t="s">
        <v>50</v>
      </c>
      <c r="J22" s="9" t="s">
        <v>50</v>
      </c>
      <c r="K22" s="9" t="s">
        <v>51</v>
      </c>
      <c r="L22" s="9">
        <v>42.9</v>
      </c>
      <c r="M22" s="9">
        <v>17300</v>
      </c>
      <c r="N22" s="7">
        <v>9878.3</v>
      </c>
      <c r="O22" s="9">
        <f>M22*(100-L22)/100*E22</f>
      </c>
      <c r="P22" s="7" t="s">
        <v>52</v>
      </c>
      <c r="Q22" s="7">
        <v>7.28</v>
      </c>
      <c r="R22" s="9">
        <v>7.25</v>
      </c>
      <c r="S22" s="7">
        <v>4.56</v>
      </c>
      <c r="T22" s="7" t="s">
        <v>161</v>
      </c>
      <c r="U22" s="7">
        <v>1.004</v>
      </c>
      <c r="V22" s="7">
        <v>62.8</v>
      </c>
      <c r="W22" s="7">
        <v>59</v>
      </c>
      <c r="X22" s="7" t="s">
        <v>54</v>
      </c>
      <c r="Y22" s="7" t="s">
        <v>55</v>
      </c>
      <c r="Z22" s="7" t="s">
        <v>56</v>
      </c>
      <c r="AA22" s="7" t="s">
        <v>56</v>
      </c>
      <c r="AB22" s="7" t="s">
        <v>93</v>
      </c>
      <c r="AC22" s="10" t="s">
        <v>56</v>
      </c>
      <c r="AD22" s="7" t="s">
        <v>56</v>
      </c>
      <c r="AE22" s="7" t="s">
        <v>56</v>
      </c>
      <c r="AF22" s="7" t="s">
        <v>56</v>
      </c>
      <c r="AG22" s="7" t="s">
        <v>56</v>
      </c>
      <c r="AH22" s="7">
        <v>25950</v>
      </c>
      <c r="AI22" s="10" t="s">
        <v>59</v>
      </c>
      <c r="AJ22" s="7" t="s">
        <v>162</v>
      </c>
      <c r="AK22" s="7"/>
      <c r="AL22" s="7"/>
      <c r="AM22" s="7"/>
      <c r="AN22" s="7" t="s">
        <v>163</v>
      </c>
      <c r="AO22" s="7" t="b">
        <v>1</v>
      </c>
      <c r="AP22" s="7">
        <v>1</v>
      </c>
      <c r="AQ22" s="7">
        <v>1</v>
      </c>
      <c r="AR22" s="10" t="s">
        <v>62</v>
      </c>
    </row>
    <row r="23">
      <c r="A23" s="7">
        <v>21</v>
      </c>
      <c r="B23" s="7" t="s">
        <v>164</v>
      </c>
      <c r="C23" s="8" t="s">
        <v>46</v>
      </c>
      <c r="D23" s="7" t="s">
        <v>47</v>
      </c>
      <c r="E23" s="9">
        <v>1.5</v>
      </c>
      <c r="F23" s="7" t="s">
        <v>136</v>
      </c>
      <c r="G23" s="7" t="s">
        <v>70</v>
      </c>
      <c r="H23" s="7" t="s">
        <v>50</v>
      </c>
      <c r="I23" s="7" t="s">
        <v>50</v>
      </c>
      <c r="J23" s="9" t="s">
        <v>50</v>
      </c>
      <c r="K23" s="9" t="s">
        <v>51</v>
      </c>
      <c r="L23" s="9">
        <v>44.18</v>
      </c>
      <c r="M23" s="9">
        <v>14300</v>
      </c>
      <c r="N23" s="7">
        <v>7982.26</v>
      </c>
      <c r="O23" s="9">
        <f>M23*(100-L23)/100*E23</f>
      </c>
      <c r="P23" s="7" t="s">
        <v>52</v>
      </c>
      <c r="Q23" s="7">
        <v>7.27</v>
      </c>
      <c r="R23" s="9">
        <v>7.23</v>
      </c>
      <c r="S23" s="7">
        <v>4.54</v>
      </c>
      <c r="T23" s="7" t="s">
        <v>165</v>
      </c>
      <c r="U23" s="7">
        <v>1.006</v>
      </c>
      <c r="V23" s="7">
        <v>62.5</v>
      </c>
      <c r="W23" s="7">
        <v>59</v>
      </c>
      <c r="X23" s="7" t="s">
        <v>54</v>
      </c>
      <c r="Y23" s="7" t="s">
        <v>55</v>
      </c>
      <c r="Z23" s="7" t="s">
        <v>56</v>
      </c>
      <c r="AA23" s="7" t="s">
        <v>56</v>
      </c>
      <c r="AB23" s="7" t="s">
        <v>110</v>
      </c>
      <c r="AC23" s="10" t="s">
        <v>105</v>
      </c>
      <c r="AD23" s="7" t="s">
        <v>56</v>
      </c>
      <c r="AE23" s="7" t="s">
        <v>56</v>
      </c>
      <c r="AF23" s="7" t="s">
        <v>56</v>
      </c>
      <c r="AG23" s="7" t="s">
        <v>56</v>
      </c>
      <c r="AH23" s="7">
        <v>21450</v>
      </c>
      <c r="AI23" s="10" t="s">
        <v>59</v>
      </c>
      <c r="AJ23" s="7" t="s">
        <v>166</v>
      </c>
      <c r="AK23" s="7"/>
      <c r="AL23" s="7"/>
      <c r="AM23" s="7"/>
      <c r="AN23" s="7" t="s">
        <v>167</v>
      </c>
      <c r="AO23" s="7" t="b">
        <v>1</v>
      </c>
      <c r="AP23" s="7">
        <v>1</v>
      </c>
      <c r="AQ23" s="7">
        <v>1</v>
      </c>
      <c r="AR23" s="10" t="s">
        <v>62</v>
      </c>
    </row>
    <row r="24">
      <c r="A24" s="7">
        <v>22</v>
      </c>
      <c r="B24" s="7" t="s">
        <v>168</v>
      </c>
      <c r="C24" s="8" t="s">
        <v>46</v>
      </c>
      <c r="D24" s="7" t="s">
        <v>47</v>
      </c>
      <c r="E24" s="9">
        <v>1.5</v>
      </c>
      <c r="F24" s="7" t="s">
        <v>136</v>
      </c>
      <c r="G24" s="7" t="s">
        <v>70</v>
      </c>
      <c r="H24" s="7" t="s">
        <v>50</v>
      </c>
      <c r="I24" s="7" t="s">
        <v>50</v>
      </c>
      <c r="J24" s="9" t="s">
        <v>50</v>
      </c>
      <c r="K24" s="9" t="s">
        <v>51</v>
      </c>
      <c r="L24" s="9">
        <v>42.38</v>
      </c>
      <c r="M24" s="9">
        <v>14300</v>
      </c>
      <c r="N24" s="7">
        <v>8239.66</v>
      </c>
      <c r="O24" s="9">
        <f>M24*(100-L24)/100*E24</f>
      </c>
      <c r="P24" s="7" t="s">
        <v>52</v>
      </c>
      <c r="Q24" s="7">
        <v>7.26</v>
      </c>
      <c r="R24" s="9">
        <v>7.21</v>
      </c>
      <c r="S24" s="7">
        <v>4.54</v>
      </c>
      <c r="T24" s="7" t="s">
        <v>169</v>
      </c>
      <c r="U24" s="7">
        <v>1.007</v>
      </c>
      <c r="V24" s="7">
        <v>62.7</v>
      </c>
      <c r="W24" s="7">
        <v>59</v>
      </c>
      <c r="X24" s="7" t="s">
        <v>54</v>
      </c>
      <c r="Y24" s="7" t="s">
        <v>55</v>
      </c>
      <c r="Z24" s="7" t="s">
        <v>56</v>
      </c>
      <c r="AA24" s="7" t="s">
        <v>56</v>
      </c>
      <c r="AB24" s="7" t="s">
        <v>170</v>
      </c>
      <c r="AC24" s="10" t="s">
        <v>105</v>
      </c>
      <c r="AD24" s="7" t="s">
        <v>56</v>
      </c>
      <c r="AE24" s="7" t="s">
        <v>56</v>
      </c>
      <c r="AF24" s="7" t="s">
        <v>56</v>
      </c>
      <c r="AG24" s="7" t="s">
        <v>56</v>
      </c>
      <c r="AH24" s="7">
        <v>21450</v>
      </c>
      <c r="AI24" s="10" t="s">
        <v>59</v>
      </c>
      <c r="AJ24" s="7" t="s">
        <v>171</v>
      </c>
      <c r="AK24" s="7"/>
      <c r="AL24" s="7"/>
      <c r="AM24" s="7"/>
      <c r="AN24" s="7" t="s">
        <v>172</v>
      </c>
      <c r="AO24" s="7" t="b">
        <v>1</v>
      </c>
      <c r="AP24" s="7">
        <v>1</v>
      </c>
      <c r="AQ24" s="7">
        <v>1</v>
      </c>
      <c r="AR24" s="10" t="s">
        <v>62</v>
      </c>
    </row>
    <row r="25">
      <c r="A25" s="7">
        <v>23</v>
      </c>
      <c r="B25" s="7" t="s">
        <v>173</v>
      </c>
      <c r="C25" s="8" t="s">
        <v>46</v>
      </c>
      <c r="D25" s="7" t="s">
        <v>47</v>
      </c>
      <c r="E25" s="9">
        <v>1.5</v>
      </c>
      <c r="F25" s="7" t="s">
        <v>136</v>
      </c>
      <c r="G25" s="7" t="s">
        <v>70</v>
      </c>
      <c r="H25" s="7" t="s">
        <v>50</v>
      </c>
      <c r="I25" s="7" t="s">
        <v>50</v>
      </c>
      <c r="J25" s="9" t="s">
        <v>50</v>
      </c>
      <c r="K25" s="9" t="s">
        <v>51</v>
      </c>
      <c r="L25" s="9">
        <v>43.92</v>
      </c>
      <c r="M25" s="9">
        <v>14300</v>
      </c>
      <c r="N25" s="7">
        <v>8019.44</v>
      </c>
      <c r="O25" s="9">
        <f>M25*(100-L25)/100*E25</f>
      </c>
      <c r="P25" s="7" t="s">
        <v>52</v>
      </c>
      <c r="Q25" s="7">
        <v>7.28</v>
      </c>
      <c r="R25" s="9">
        <v>7.25</v>
      </c>
      <c r="S25" s="7">
        <v>4.53</v>
      </c>
      <c r="T25" s="7" t="s">
        <v>174</v>
      </c>
      <c r="U25" s="7">
        <v>1.004</v>
      </c>
      <c r="V25" s="7">
        <v>62.4</v>
      </c>
      <c r="W25" s="7">
        <v>58</v>
      </c>
      <c r="X25" s="7" t="s">
        <v>54</v>
      </c>
      <c r="Y25" s="7" t="s">
        <v>55</v>
      </c>
      <c r="Z25" s="7" t="s">
        <v>56</v>
      </c>
      <c r="AA25" s="7" t="s">
        <v>56</v>
      </c>
      <c r="AB25" s="7" t="s">
        <v>115</v>
      </c>
      <c r="AC25" s="10" t="s">
        <v>56</v>
      </c>
      <c r="AD25" s="7" t="s">
        <v>56</v>
      </c>
      <c r="AE25" s="7" t="s">
        <v>56</v>
      </c>
      <c r="AF25" s="7" t="s">
        <v>56</v>
      </c>
      <c r="AG25" s="7" t="s">
        <v>56</v>
      </c>
      <c r="AH25" s="7">
        <v>21450</v>
      </c>
      <c r="AI25" s="10" t="s">
        <v>59</v>
      </c>
      <c r="AJ25" s="7" t="s">
        <v>175</v>
      </c>
      <c r="AK25" s="7"/>
      <c r="AL25" s="7"/>
      <c r="AM25" s="7"/>
      <c r="AN25" s="7" t="s">
        <v>176</v>
      </c>
      <c r="AO25" s="7" t="b">
        <v>1</v>
      </c>
      <c r="AP25" s="7">
        <v>1</v>
      </c>
      <c r="AQ25" s="7">
        <v>1</v>
      </c>
      <c r="AR25" s="10" t="s">
        <v>62</v>
      </c>
    </row>
    <row r="26">
      <c r="A26" s="7">
        <v>24</v>
      </c>
      <c r="B26" s="7" t="s">
        <v>177</v>
      </c>
      <c r="C26" s="8" t="s">
        <v>46</v>
      </c>
      <c r="D26" s="7" t="s">
        <v>47</v>
      </c>
      <c r="E26" s="9">
        <v>1.5</v>
      </c>
      <c r="F26" s="7" t="s">
        <v>136</v>
      </c>
      <c r="G26" s="7" t="s">
        <v>70</v>
      </c>
      <c r="H26" s="7" t="s">
        <v>50</v>
      </c>
      <c r="I26" s="7" t="s">
        <v>50</v>
      </c>
      <c r="J26" s="9" t="s">
        <v>50</v>
      </c>
      <c r="K26" s="9" t="s">
        <v>51</v>
      </c>
      <c r="L26" s="9">
        <v>41.35</v>
      </c>
      <c r="M26" s="9">
        <v>14300</v>
      </c>
      <c r="N26" s="7">
        <v>8386.95</v>
      </c>
      <c r="O26" s="9">
        <f>M26*(100-L26)/100*E26</f>
      </c>
      <c r="P26" s="7" t="s">
        <v>52</v>
      </c>
      <c r="Q26" s="7">
        <v>7.3</v>
      </c>
      <c r="R26" s="9">
        <v>7.26</v>
      </c>
      <c r="S26" s="7">
        <v>4.57</v>
      </c>
      <c r="T26" s="7" t="s">
        <v>178</v>
      </c>
      <c r="U26" s="7">
        <v>1.006</v>
      </c>
      <c r="V26" s="7">
        <v>62.8</v>
      </c>
      <c r="W26" s="7">
        <v>59</v>
      </c>
      <c r="X26" s="7" t="s">
        <v>54</v>
      </c>
      <c r="Y26" s="7" t="s">
        <v>55</v>
      </c>
      <c r="Z26" s="7" t="s">
        <v>56</v>
      </c>
      <c r="AA26" s="7" t="s">
        <v>56</v>
      </c>
      <c r="AB26" s="7" t="s">
        <v>179</v>
      </c>
      <c r="AC26" s="10" t="s">
        <v>56</v>
      </c>
      <c r="AD26" s="7" t="s">
        <v>56</v>
      </c>
      <c r="AE26" s="7" t="s">
        <v>56</v>
      </c>
      <c r="AF26" s="7" t="s">
        <v>56</v>
      </c>
      <c r="AG26" s="7" t="s">
        <v>56</v>
      </c>
      <c r="AH26" s="7">
        <v>21450</v>
      </c>
      <c r="AI26" s="10" t="s">
        <v>59</v>
      </c>
      <c r="AJ26" s="7" t="s">
        <v>180</v>
      </c>
      <c r="AK26" s="7"/>
      <c r="AL26" s="7"/>
      <c r="AM26" s="7"/>
      <c r="AN26" s="7" t="s">
        <v>181</v>
      </c>
      <c r="AO26" s="7" t="b">
        <v>1</v>
      </c>
      <c r="AP26" s="7">
        <v>1</v>
      </c>
      <c r="AQ26" s="7">
        <v>1</v>
      </c>
      <c r="AR26" s="10" t="s">
        <v>62</v>
      </c>
    </row>
    <row r="27">
      <c r="A27" s="7">
        <v>25</v>
      </c>
      <c r="B27" s="7" t="s">
        <v>182</v>
      </c>
      <c r="C27" s="8" t="s">
        <v>46</v>
      </c>
      <c r="D27" s="7" t="s">
        <v>47</v>
      </c>
      <c r="E27" s="9">
        <v>1.5</v>
      </c>
      <c r="F27" s="7" t="s">
        <v>183</v>
      </c>
      <c r="G27" s="7" t="s">
        <v>97</v>
      </c>
      <c r="H27" s="7" t="s">
        <v>50</v>
      </c>
      <c r="I27" s="7" t="s">
        <v>50</v>
      </c>
      <c r="J27" s="9" t="s">
        <v>50</v>
      </c>
      <c r="K27" s="9" t="s">
        <v>51</v>
      </c>
      <c r="L27" s="9">
        <v>42.64</v>
      </c>
      <c r="M27" s="9">
        <v>14300</v>
      </c>
      <c r="N27" s="7">
        <v>8202.48</v>
      </c>
      <c r="O27" s="9">
        <f>M27*(100-L27)/100*E27</f>
      </c>
      <c r="P27" s="7" t="s">
        <v>52</v>
      </c>
      <c r="Q27" s="7">
        <v>7.42</v>
      </c>
      <c r="R27" s="9">
        <v>7.39</v>
      </c>
      <c r="S27" s="7">
        <v>4.43</v>
      </c>
      <c r="T27" s="7" t="s">
        <v>184</v>
      </c>
      <c r="U27" s="7">
        <v>1.004</v>
      </c>
      <c r="V27" s="7">
        <v>59.9</v>
      </c>
      <c r="W27" s="7">
        <v>60</v>
      </c>
      <c r="X27" s="7" t="s">
        <v>54</v>
      </c>
      <c r="Y27" s="7" t="s">
        <v>55</v>
      </c>
      <c r="Z27" s="7" t="s">
        <v>56</v>
      </c>
      <c r="AA27" s="7" t="s">
        <v>56</v>
      </c>
      <c r="AB27" s="7"/>
      <c r="AC27" s="7" t="s">
        <v>56</v>
      </c>
      <c r="AD27" s="7" t="s">
        <v>56</v>
      </c>
      <c r="AE27" s="7" t="s">
        <v>56</v>
      </c>
      <c r="AF27" s="7" t="s">
        <v>56</v>
      </c>
      <c r="AG27" s="7" t="s">
        <v>56</v>
      </c>
      <c r="AH27" s="7">
        <v>21450</v>
      </c>
      <c r="AI27" s="7"/>
      <c r="AJ27" s="7" t="s">
        <v>185</v>
      </c>
      <c r="AK27" s="7"/>
      <c r="AL27" s="7"/>
      <c r="AM27" s="7"/>
      <c r="AN27" s="7" t="s">
        <v>186</v>
      </c>
      <c r="AO27" s="7" t="b">
        <v>1</v>
      </c>
      <c r="AP27" s="7">
        <v>0</v>
      </c>
      <c r="AQ27" s="7">
        <v>0</v>
      </c>
      <c r="AR27" s="10" t="s">
        <v>62</v>
      </c>
    </row>
    <row r="28">
      <c r="A28" s="7">
        <v>26</v>
      </c>
      <c r="B28" s="7" t="s">
        <v>187</v>
      </c>
      <c r="C28" s="8" t="s">
        <v>46</v>
      </c>
      <c r="D28" s="7" t="s">
        <v>47</v>
      </c>
      <c r="E28" s="9">
        <v>1.5</v>
      </c>
      <c r="F28" s="7" t="s">
        <v>188</v>
      </c>
      <c r="G28" s="7" t="s">
        <v>127</v>
      </c>
      <c r="H28" s="7" t="s">
        <v>50</v>
      </c>
      <c r="I28" s="7" t="s">
        <v>50</v>
      </c>
      <c r="J28" s="9" t="s">
        <v>50</v>
      </c>
      <c r="K28" s="9" t="s">
        <v>51</v>
      </c>
      <c r="L28" s="9">
        <v>41.87</v>
      </c>
      <c r="M28" s="9">
        <v>15300</v>
      </c>
      <c r="N28" s="7">
        <v>8893.89</v>
      </c>
      <c r="O28" s="9">
        <f>M28*(100-L28)/100*E28</f>
      </c>
      <c r="P28" s="7" t="s">
        <v>52</v>
      </c>
      <c r="Q28" s="7">
        <v>7.36</v>
      </c>
      <c r="R28" s="9">
        <v>7.32</v>
      </c>
      <c r="S28" s="7">
        <v>4.51</v>
      </c>
      <c r="T28" s="7" t="s">
        <v>189</v>
      </c>
      <c r="U28" s="7">
        <v>1.005</v>
      </c>
      <c r="V28" s="7">
        <v>61.5</v>
      </c>
      <c r="W28" s="7">
        <v>61</v>
      </c>
      <c r="X28" s="7" t="s">
        <v>54</v>
      </c>
      <c r="Y28" s="7" t="s">
        <v>55</v>
      </c>
      <c r="Z28" s="7" t="s">
        <v>56</v>
      </c>
      <c r="AA28" s="7" t="s">
        <v>56</v>
      </c>
      <c r="AB28" s="7" t="s">
        <v>170</v>
      </c>
      <c r="AC28" s="10" t="s">
        <v>56</v>
      </c>
      <c r="AD28" s="7" t="s">
        <v>56</v>
      </c>
      <c r="AE28" s="7" t="s">
        <v>56</v>
      </c>
      <c r="AF28" s="7" t="s">
        <v>56</v>
      </c>
      <c r="AG28" s="7" t="s">
        <v>56</v>
      </c>
      <c r="AH28" s="7">
        <v>22950</v>
      </c>
      <c r="AI28" s="10" t="s">
        <v>59</v>
      </c>
      <c r="AJ28" s="7" t="s">
        <v>190</v>
      </c>
      <c r="AK28" s="7"/>
      <c r="AL28" s="7"/>
      <c r="AM28" s="7"/>
      <c r="AN28" s="7" t="s">
        <v>191</v>
      </c>
      <c r="AO28" s="7" t="b">
        <v>1</v>
      </c>
      <c r="AP28" s="7">
        <v>1</v>
      </c>
      <c r="AQ28" s="7">
        <v>1</v>
      </c>
      <c r="AR28" s="10" t="s">
        <v>62</v>
      </c>
    </row>
    <row r="29">
      <c r="A29" s="7">
        <v>27</v>
      </c>
      <c r="B29" s="7" t="s">
        <v>192</v>
      </c>
      <c r="C29" s="8" t="s">
        <v>46</v>
      </c>
      <c r="D29" s="7" t="s">
        <v>47</v>
      </c>
      <c r="E29" s="9">
        <v>1.5</v>
      </c>
      <c r="F29" s="7" t="s">
        <v>188</v>
      </c>
      <c r="G29" s="7" t="s">
        <v>91</v>
      </c>
      <c r="H29" s="7" t="s">
        <v>50</v>
      </c>
      <c r="I29" s="7" t="s">
        <v>50</v>
      </c>
      <c r="J29" s="9" t="s">
        <v>50</v>
      </c>
      <c r="K29" s="9" t="s">
        <v>51</v>
      </c>
      <c r="L29" s="9">
        <v>40.84</v>
      </c>
      <c r="M29" s="9">
        <v>15300</v>
      </c>
      <c r="N29" s="7">
        <v>9051.48</v>
      </c>
      <c r="O29" s="9">
        <f>M29*(100-L29)/100*E29</f>
      </c>
      <c r="P29" s="7" t="s">
        <v>52</v>
      </c>
      <c r="Q29" s="7">
        <v>7.28</v>
      </c>
      <c r="R29" s="9">
        <v>7.24</v>
      </c>
      <c r="S29" s="7">
        <v>4.54</v>
      </c>
      <c r="T29" s="7" t="s">
        <v>193</v>
      </c>
      <c r="U29" s="7">
        <v>1.006</v>
      </c>
      <c r="V29" s="7">
        <v>62.6</v>
      </c>
      <c r="W29" s="7">
        <v>59</v>
      </c>
      <c r="X29" s="7" t="s">
        <v>54</v>
      </c>
      <c r="Y29" s="7" t="s">
        <v>55</v>
      </c>
      <c r="Z29" s="7" t="s">
        <v>56</v>
      </c>
      <c r="AA29" s="7" t="s">
        <v>56</v>
      </c>
      <c r="AB29" s="7" t="s">
        <v>93</v>
      </c>
      <c r="AC29" s="10" t="s">
        <v>56</v>
      </c>
      <c r="AD29" s="7" t="s">
        <v>56</v>
      </c>
      <c r="AE29" s="7" t="s">
        <v>56</v>
      </c>
      <c r="AF29" s="7" t="s">
        <v>56</v>
      </c>
      <c r="AG29" s="7" t="s">
        <v>56</v>
      </c>
      <c r="AH29" s="7">
        <v>22950</v>
      </c>
      <c r="AI29" s="10" t="s">
        <v>59</v>
      </c>
      <c r="AJ29" s="7" t="s">
        <v>194</v>
      </c>
      <c r="AK29" s="7"/>
      <c r="AL29" s="7"/>
      <c r="AM29" s="7"/>
      <c r="AN29" s="7" t="s">
        <v>195</v>
      </c>
      <c r="AO29" s="7" t="b">
        <v>1</v>
      </c>
      <c r="AP29" s="7">
        <v>1</v>
      </c>
      <c r="AQ29" s="7">
        <v>1</v>
      </c>
      <c r="AR29" s="10" t="s">
        <v>62</v>
      </c>
    </row>
    <row r="30">
      <c r="A30" s="7">
        <v>28</v>
      </c>
      <c r="B30" s="7" t="s">
        <v>196</v>
      </c>
      <c r="C30" s="8" t="s">
        <v>46</v>
      </c>
      <c r="D30" s="7" t="s">
        <v>47</v>
      </c>
      <c r="E30" s="9">
        <v>1.5</v>
      </c>
      <c r="F30" s="7" t="s">
        <v>188</v>
      </c>
      <c r="G30" s="7" t="s">
        <v>70</v>
      </c>
      <c r="H30" s="7" t="s">
        <v>50</v>
      </c>
      <c r="I30" s="7" t="s">
        <v>50</v>
      </c>
      <c r="J30" s="9" t="s">
        <v>50</v>
      </c>
      <c r="K30" s="9" t="s">
        <v>51</v>
      </c>
      <c r="L30" s="9">
        <v>40.32</v>
      </c>
      <c r="M30" s="9">
        <v>13200</v>
      </c>
      <c r="N30" s="7">
        <v>7877.76</v>
      </c>
      <c r="O30" s="9">
        <f>M30*(100-L30)/100*E30</f>
      </c>
      <c r="P30" s="7" t="s">
        <v>52</v>
      </c>
      <c r="Q30" s="7">
        <v>7.3</v>
      </c>
      <c r="R30" s="9">
        <v>7.25</v>
      </c>
      <c r="S30" s="7">
        <v>4.55</v>
      </c>
      <c r="T30" s="7" t="s">
        <v>197</v>
      </c>
      <c r="U30" s="7">
        <v>1.007</v>
      </c>
      <c r="V30" s="7">
        <v>62.6</v>
      </c>
      <c r="W30" s="7">
        <v>59</v>
      </c>
      <c r="X30" s="7" t="s">
        <v>54</v>
      </c>
      <c r="Y30" s="7" t="s">
        <v>55</v>
      </c>
      <c r="Z30" s="7" t="s">
        <v>56</v>
      </c>
      <c r="AA30" s="7" t="s">
        <v>56</v>
      </c>
      <c r="AB30" s="7" t="s">
        <v>198</v>
      </c>
      <c r="AC30" s="10" t="s">
        <v>56</v>
      </c>
      <c r="AD30" s="7" t="s">
        <v>56</v>
      </c>
      <c r="AE30" s="7" t="s">
        <v>56</v>
      </c>
      <c r="AF30" s="7" t="s">
        <v>56</v>
      </c>
      <c r="AG30" s="7" t="s">
        <v>56</v>
      </c>
      <c r="AH30" s="7">
        <v>19800</v>
      </c>
      <c r="AI30" s="10" t="s">
        <v>59</v>
      </c>
      <c r="AJ30" s="7" t="s">
        <v>199</v>
      </c>
      <c r="AK30" s="7"/>
      <c r="AL30" s="7"/>
      <c r="AM30" s="7"/>
      <c r="AN30" s="7" t="s">
        <v>200</v>
      </c>
      <c r="AO30" s="7" t="b">
        <v>1</v>
      </c>
      <c r="AP30" s="7">
        <v>1</v>
      </c>
      <c r="AQ30" s="7">
        <v>1</v>
      </c>
      <c r="AR30" s="10" t="s">
        <v>62</v>
      </c>
    </row>
    <row r="31">
      <c r="A31" s="7">
        <v>29</v>
      </c>
      <c r="B31" s="7" t="s">
        <v>201</v>
      </c>
      <c r="C31" s="8" t="s">
        <v>46</v>
      </c>
      <c r="D31" s="7" t="s">
        <v>47</v>
      </c>
      <c r="E31" s="9">
        <v>1.4</v>
      </c>
      <c r="F31" s="7" t="s">
        <v>136</v>
      </c>
      <c r="G31" s="7" t="s">
        <v>120</v>
      </c>
      <c r="H31" s="7" t="s">
        <v>50</v>
      </c>
      <c r="I31" s="7" t="s">
        <v>50</v>
      </c>
      <c r="J31" s="9" t="s">
        <v>50</v>
      </c>
      <c r="K31" s="9" t="s">
        <v>51</v>
      </c>
      <c r="L31" s="9">
        <v>23.6</v>
      </c>
      <c r="M31" s="9">
        <v>7500</v>
      </c>
      <c r="N31" s="7">
        <v>5730</v>
      </c>
      <c r="O31" s="9">
        <f>M31*(100-L31)/100*E31</f>
      </c>
      <c r="P31" s="7" t="s">
        <v>52</v>
      </c>
      <c r="Q31" s="7">
        <v>7.12</v>
      </c>
      <c r="R31" s="9">
        <v>7.07</v>
      </c>
      <c r="S31" s="7">
        <v>4.45</v>
      </c>
      <c r="T31" s="7" t="s">
        <v>202</v>
      </c>
      <c r="U31" s="7">
        <v>1.007</v>
      </c>
      <c r="V31" s="7">
        <v>62.7</v>
      </c>
      <c r="W31" s="7">
        <v>57</v>
      </c>
      <c r="X31" s="7" t="s">
        <v>54</v>
      </c>
      <c r="Y31" s="7" t="s">
        <v>55</v>
      </c>
      <c r="Z31" s="7" t="s">
        <v>56</v>
      </c>
      <c r="AA31" s="7" t="s">
        <v>56</v>
      </c>
      <c r="AB31" s="7" t="s">
        <v>203</v>
      </c>
      <c r="AC31" s="10" t="s">
        <v>56</v>
      </c>
      <c r="AD31" s="7" t="s">
        <v>56</v>
      </c>
      <c r="AE31" s="7" t="s">
        <v>56</v>
      </c>
      <c r="AF31" s="7" t="s">
        <v>56</v>
      </c>
      <c r="AG31" s="7" t="s">
        <v>56</v>
      </c>
      <c r="AH31" s="7">
        <v>10500</v>
      </c>
      <c r="AI31" s="10" t="s">
        <v>59</v>
      </c>
      <c r="AJ31" s="7" t="s">
        <v>204</v>
      </c>
      <c r="AK31" s="7"/>
      <c r="AL31" s="7"/>
      <c r="AM31" s="7"/>
      <c r="AN31" s="7" t="s">
        <v>205</v>
      </c>
      <c r="AO31" s="7" t="b">
        <v>1</v>
      </c>
      <c r="AP31" s="7">
        <v>1</v>
      </c>
      <c r="AQ31" s="7">
        <v>1</v>
      </c>
      <c r="AR31" s="10" t="s">
        <v>62</v>
      </c>
    </row>
    <row r="32">
      <c r="A32" s="7">
        <v>30</v>
      </c>
      <c r="B32" s="7" t="s">
        <v>206</v>
      </c>
      <c r="C32" s="8" t="s">
        <v>46</v>
      </c>
      <c r="D32" s="7" t="s">
        <v>47</v>
      </c>
      <c r="E32" s="9">
        <v>1.4</v>
      </c>
      <c r="F32" s="7" t="s">
        <v>136</v>
      </c>
      <c r="G32" s="7" t="s">
        <v>70</v>
      </c>
      <c r="H32" s="7" t="s">
        <v>50</v>
      </c>
      <c r="I32" s="7" t="s">
        <v>50</v>
      </c>
      <c r="J32" s="9" t="s">
        <v>50</v>
      </c>
      <c r="K32" s="9" t="s">
        <v>51</v>
      </c>
      <c r="L32" s="9">
        <v>23.86</v>
      </c>
      <c r="M32" s="9">
        <v>8800</v>
      </c>
      <c r="N32" s="7">
        <v>6700.32</v>
      </c>
      <c r="O32" s="9">
        <f>M32*(100-L32)/100*E32</f>
      </c>
      <c r="P32" s="7" t="s">
        <v>52</v>
      </c>
      <c r="Q32" s="7">
        <v>7.12</v>
      </c>
      <c r="R32" s="9">
        <v>7.07</v>
      </c>
      <c r="S32" s="7">
        <v>4.44</v>
      </c>
      <c r="T32" s="7" t="s">
        <v>207</v>
      </c>
      <c r="U32" s="7">
        <v>1.007</v>
      </c>
      <c r="V32" s="7">
        <v>62.6</v>
      </c>
      <c r="W32" s="7">
        <v>58</v>
      </c>
      <c r="X32" s="7" t="s">
        <v>54</v>
      </c>
      <c r="Y32" s="7" t="s">
        <v>55</v>
      </c>
      <c r="Z32" s="7" t="s">
        <v>56</v>
      </c>
      <c r="AA32" s="7" t="s">
        <v>56</v>
      </c>
      <c r="AB32" s="7" t="s">
        <v>115</v>
      </c>
      <c r="AC32" s="10" t="s">
        <v>105</v>
      </c>
      <c r="AD32" s="7" t="s">
        <v>56</v>
      </c>
      <c r="AE32" s="7" t="s">
        <v>56</v>
      </c>
      <c r="AF32" s="7" t="s">
        <v>56</v>
      </c>
      <c r="AG32" s="7" t="s">
        <v>56</v>
      </c>
      <c r="AH32" s="7">
        <v>12320</v>
      </c>
      <c r="AI32" s="10" t="s">
        <v>59</v>
      </c>
      <c r="AJ32" s="7" t="s">
        <v>208</v>
      </c>
      <c r="AK32" s="7"/>
      <c r="AL32" s="7"/>
      <c r="AM32" s="7"/>
      <c r="AN32" s="7" t="s">
        <v>209</v>
      </c>
      <c r="AO32" s="7" t="b">
        <v>1</v>
      </c>
      <c r="AP32" s="7">
        <v>1</v>
      </c>
      <c r="AQ32" s="7">
        <v>1</v>
      </c>
      <c r="AR32" s="10" t="s">
        <v>62</v>
      </c>
    </row>
    <row r="33">
      <c r="A33" s="7">
        <v>31</v>
      </c>
      <c r="B33" s="7" t="s">
        <v>210</v>
      </c>
      <c r="C33" s="8" t="s">
        <v>46</v>
      </c>
      <c r="D33" s="7" t="s">
        <v>47</v>
      </c>
      <c r="E33" s="9">
        <v>1.4</v>
      </c>
      <c r="F33" s="7" t="s">
        <v>211</v>
      </c>
      <c r="G33" s="7" t="s">
        <v>70</v>
      </c>
      <c r="H33" s="7" t="s">
        <v>50</v>
      </c>
      <c r="I33" s="7" t="s">
        <v>50</v>
      </c>
      <c r="J33" s="9" t="s">
        <v>50</v>
      </c>
      <c r="K33" s="9" t="s">
        <v>51</v>
      </c>
      <c r="L33" s="9">
        <v>23.86</v>
      </c>
      <c r="M33" s="9">
        <v>8000</v>
      </c>
      <c r="N33" s="7">
        <v>6091.2</v>
      </c>
      <c r="O33" s="9">
        <f>M33*(100-L33)/100*E33</f>
      </c>
      <c r="P33" s="7" t="s">
        <v>52</v>
      </c>
      <c r="Q33" s="7">
        <v>7.27</v>
      </c>
      <c r="R33" s="9">
        <v>7.23</v>
      </c>
      <c r="S33" s="7">
        <v>4.33</v>
      </c>
      <c r="T33" s="7" t="s">
        <v>212</v>
      </c>
      <c r="U33" s="7">
        <v>1.006</v>
      </c>
      <c r="V33" s="7">
        <v>59.6</v>
      </c>
      <c r="W33" s="7">
        <v>59</v>
      </c>
      <c r="X33" s="7" t="s">
        <v>54</v>
      </c>
      <c r="Y33" s="7" t="s">
        <v>55</v>
      </c>
      <c r="Z33" s="7" t="s">
        <v>56</v>
      </c>
      <c r="AA33" s="7" t="s">
        <v>56</v>
      </c>
      <c r="AB33" s="7" t="s">
        <v>115</v>
      </c>
      <c r="AC33" s="7" t="s">
        <v>56</v>
      </c>
      <c r="AD33" s="7" t="s">
        <v>56</v>
      </c>
      <c r="AE33" s="7" t="s">
        <v>56</v>
      </c>
      <c r="AF33" s="7" t="s">
        <v>56</v>
      </c>
      <c r="AG33" s="7" t="s">
        <v>56</v>
      </c>
      <c r="AH33" s="7">
        <v>11200</v>
      </c>
      <c r="AI33" s="10" t="s">
        <v>59</v>
      </c>
      <c r="AJ33" s="7" t="s">
        <v>213</v>
      </c>
      <c r="AK33" s="7"/>
      <c r="AL33" s="7"/>
      <c r="AM33" s="7"/>
      <c r="AN33" s="7" t="s">
        <v>214</v>
      </c>
      <c r="AO33" s="7" t="b">
        <v>1</v>
      </c>
      <c r="AP33" s="7">
        <v>1</v>
      </c>
      <c r="AQ33" s="7">
        <v>1</v>
      </c>
      <c r="AR33" s="10" t="s">
        <v>62</v>
      </c>
    </row>
    <row r="34">
      <c r="A34" s="7">
        <v>32</v>
      </c>
      <c r="B34" s="7" t="s">
        <v>215</v>
      </c>
      <c r="C34" s="8" t="s">
        <v>46</v>
      </c>
      <c r="D34" s="7" t="s">
        <v>47</v>
      </c>
      <c r="E34" s="9">
        <v>1.4</v>
      </c>
      <c r="F34" s="7" t="s">
        <v>188</v>
      </c>
      <c r="G34" s="7" t="s">
        <v>91</v>
      </c>
      <c r="H34" s="7" t="s">
        <v>50</v>
      </c>
      <c r="I34" s="7" t="s">
        <v>50</v>
      </c>
      <c r="J34" s="9" t="s">
        <v>50</v>
      </c>
      <c r="K34" s="9" t="s">
        <v>51</v>
      </c>
      <c r="L34" s="9">
        <v>25.15</v>
      </c>
      <c r="M34" s="9">
        <v>9700</v>
      </c>
      <c r="N34" s="7">
        <v>7260.45</v>
      </c>
      <c r="O34" s="9">
        <f>M34*(100-L34)/100*E34</f>
      </c>
      <c r="P34" s="7" t="s">
        <v>52</v>
      </c>
      <c r="Q34" s="7">
        <v>7.2</v>
      </c>
      <c r="R34" s="9">
        <v>7.16</v>
      </c>
      <c r="S34" s="7">
        <v>4.42</v>
      </c>
      <c r="T34" s="7" t="s">
        <v>216</v>
      </c>
      <c r="U34" s="7">
        <v>1.006</v>
      </c>
      <c r="V34" s="7">
        <v>61.6</v>
      </c>
      <c r="W34" s="7">
        <v>60</v>
      </c>
      <c r="X34" s="7" t="s">
        <v>54</v>
      </c>
      <c r="Y34" s="7" t="s">
        <v>55</v>
      </c>
      <c r="Z34" s="7" t="s">
        <v>56</v>
      </c>
      <c r="AA34" s="7" t="s">
        <v>56</v>
      </c>
      <c r="AB34" s="7" t="s">
        <v>78</v>
      </c>
      <c r="AC34" s="7" t="s">
        <v>56</v>
      </c>
      <c r="AD34" s="7" t="s">
        <v>56</v>
      </c>
      <c r="AE34" s="7" t="s">
        <v>56</v>
      </c>
      <c r="AF34" s="7" t="s">
        <v>56</v>
      </c>
      <c r="AG34" s="7" t="s">
        <v>56</v>
      </c>
      <c r="AH34" s="7">
        <v>13580</v>
      </c>
      <c r="AI34" s="10" t="s">
        <v>59</v>
      </c>
      <c r="AJ34" s="7" t="s">
        <v>217</v>
      </c>
      <c r="AK34" s="7"/>
      <c r="AL34" s="7"/>
      <c r="AM34" s="7"/>
      <c r="AN34" s="7" t="s">
        <v>218</v>
      </c>
      <c r="AO34" s="7" t="b">
        <v>1</v>
      </c>
      <c r="AP34" s="7">
        <v>1</v>
      </c>
      <c r="AQ34" s="7">
        <v>1</v>
      </c>
      <c r="AR34" s="10" t="s">
        <v>62</v>
      </c>
    </row>
    <row r="35">
      <c r="A35" s="7">
        <v>33</v>
      </c>
      <c r="B35" s="7" t="s">
        <v>219</v>
      </c>
      <c r="C35" s="8" t="s">
        <v>46</v>
      </c>
      <c r="D35" s="7" t="s">
        <v>47</v>
      </c>
      <c r="E35" s="9">
        <v>1.36</v>
      </c>
      <c r="F35" s="7" t="s">
        <v>188</v>
      </c>
      <c r="G35" s="7" t="s">
        <v>127</v>
      </c>
      <c r="H35" s="7" t="s">
        <v>50</v>
      </c>
      <c r="I35" s="7" t="s">
        <v>50</v>
      </c>
      <c r="J35" s="9" t="s">
        <v>50</v>
      </c>
      <c r="K35" s="9" t="s">
        <v>51</v>
      </c>
      <c r="L35" s="9">
        <v>35.18</v>
      </c>
      <c r="M35" s="9">
        <v>9700</v>
      </c>
      <c r="N35" s="7">
        <v>6287.54</v>
      </c>
      <c r="O35" s="9">
        <f>M35*(100-L35)/100*E35</f>
      </c>
      <c r="P35" s="7" t="s">
        <v>52</v>
      </c>
      <c r="Q35" s="7">
        <v>7.07</v>
      </c>
      <c r="R35" s="9">
        <v>7.03</v>
      </c>
      <c r="S35" s="7">
        <v>4.4</v>
      </c>
      <c r="T35" s="7" t="s">
        <v>220</v>
      </c>
      <c r="U35" s="7">
        <v>1.006</v>
      </c>
      <c r="V35" s="7">
        <v>62.5</v>
      </c>
      <c r="W35" s="7">
        <v>60</v>
      </c>
      <c r="X35" s="7" t="s">
        <v>54</v>
      </c>
      <c r="Y35" s="7" t="s">
        <v>55</v>
      </c>
      <c r="Z35" s="7" t="s">
        <v>56</v>
      </c>
      <c r="AA35" s="7" t="s">
        <v>56</v>
      </c>
      <c r="AB35" s="7" t="s">
        <v>115</v>
      </c>
      <c r="AC35" s="7" t="s">
        <v>56</v>
      </c>
      <c r="AD35" s="7" t="s">
        <v>56</v>
      </c>
      <c r="AE35" s="7" t="s">
        <v>56</v>
      </c>
      <c r="AF35" s="7" t="s">
        <v>56</v>
      </c>
      <c r="AG35" s="7" t="s">
        <v>56</v>
      </c>
      <c r="AH35" s="7">
        <v>13192</v>
      </c>
      <c r="AI35" s="10" t="s">
        <v>59</v>
      </c>
      <c r="AJ35" s="7" t="s">
        <v>221</v>
      </c>
      <c r="AK35" s="7"/>
      <c r="AL35" s="7"/>
      <c r="AM35" s="7"/>
      <c r="AN35" s="7" t="s">
        <v>222</v>
      </c>
      <c r="AO35" s="7" t="b">
        <v>1</v>
      </c>
      <c r="AP35" s="7">
        <v>1</v>
      </c>
      <c r="AQ35" s="7">
        <v>1</v>
      </c>
      <c r="AR35" s="10" t="s">
        <v>62</v>
      </c>
    </row>
    <row r="36">
      <c r="A36" s="7">
        <v>34</v>
      </c>
      <c r="B36" s="7" t="s">
        <v>223</v>
      </c>
      <c r="C36" s="8" t="s">
        <v>46</v>
      </c>
      <c r="D36" s="7" t="s">
        <v>47</v>
      </c>
      <c r="E36" s="9">
        <v>1.31</v>
      </c>
      <c r="F36" s="7" t="s">
        <v>86</v>
      </c>
      <c r="G36" s="7" t="s">
        <v>91</v>
      </c>
      <c r="H36" s="7" t="s">
        <v>50</v>
      </c>
      <c r="I36" s="7" t="s">
        <v>50</v>
      </c>
      <c r="J36" s="9" t="s">
        <v>50</v>
      </c>
      <c r="K36" s="9" t="s">
        <v>51</v>
      </c>
      <c r="L36" s="9">
        <v>35.18</v>
      </c>
      <c r="M36" s="9">
        <v>12800</v>
      </c>
      <c r="N36" s="7">
        <v>8296.96</v>
      </c>
      <c r="O36" s="9">
        <f>M36*(100-L36)/100*E36</f>
      </c>
      <c r="P36" s="7" t="s">
        <v>52</v>
      </c>
      <c r="Q36" s="7">
        <v>7.03</v>
      </c>
      <c r="R36" s="9">
        <v>6.99</v>
      </c>
      <c r="S36" s="7">
        <v>4.39</v>
      </c>
      <c r="T36" s="7" t="s">
        <v>224</v>
      </c>
      <c r="U36" s="7">
        <v>1.006</v>
      </c>
      <c r="V36" s="7">
        <v>62.6</v>
      </c>
      <c r="W36" s="7">
        <v>55</v>
      </c>
      <c r="X36" s="7" t="s">
        <v>54</v>
      </c>
      <c r="Y36" s="7" t="s">
        <v>55</v>
      </c>
      <c r="Z36" s="7" t="s">
        <v>56</v>
      </c>
      <c r="AA36" s="7" t="s">
        <v>56</v>
      </c>
      <c r="AB36" s="7" t="s">
        <v>225</v>
      </c>
      <c r="AC36" s="7" t="s">
        <v>56</v>
      </c>
      <c r="AD36" s="7" t="s">
        <v>56</v>
      </c>
      <c r="AE36" s="7" t="s">
        <v>56</v>
      </c>
      <c r="AF36" s="7" t="s">
        <v>56</v>
      </c>
      <c r="AG36" s="7" t="s">
        <v>56</v>
      </c>
      <c r="AH36" s="7">
        <v>16768</v>
      </c>
      <c r="AI36" s="10" t="s">
        <v>59</v>
      </c>
      <c r="AJ36" s="7" t="s">
        <v>226</v>
      </c>
      <c r="AK36" s="7"/>
      <c r="AL36" s="7"/>
      <c r="AM36" s="7"/>
      <c r="AN36" s="7" t="s">
        <v>227</v>
      </c>
      <c r="AO36" s="7" t="b">
        <v>1</v>
      </c>
      <c r="AP36" s="7">
        <v>1</v>
      </c>
      <c r="AQ36" s="7">
        <v>1</v>
      </c>
      <c r="AR36" s="10" t="s">
        <v>62</v>
      </c>
    </row>
    <row r="37">
      <c r="A37" s="7">
        <v>35</v>
      </c>
      <c r="B37" s="7" t="s">
        <v>228</v>
      </c>
      <c r="C37" s="8" t="s">
        <v>46</v>
      </c>
      <c r="D37" s="7" t="s">
        <v>47</v>
      </c>
      <c r="E37" s="9">
        <v>1.3</v>
      </c>
      <c r="F37" s="7" t="s">
        <v>86</v>
      </c>
      <c r="G37" s="7" t="s">
        <v>91</v>
      </c>
      <c r="H37" s="7" t="s">
        <v>50</v>
      </c>
      <c r="I37" s="7" t="s">
        <v>50</v>
      </c>
      <c r="J37" s="9" t="s">
        <v>50</v>
      </c>
      <c r="K37" s="9" t="s">
        <v>51</v>
      </c>
      <c r="L37" s="9">
        <v>35.18</v>
      </c>
      <c r="M37" s="9">
        <v>12800</v>
      </c>
      <c r="N37" s="7">
        <v>8296.96</v>
      </c>
      <c r="O37" s="9">
        <f>M37*(100-L37)/100*E37</f>
      </c>
      <c r="P37" s="7" t="s">
        <v>52</v>
      </c>
      <c r="Q37" s="7">
        <v>7.04</v>
      </c>
      <c r="R37" s="9">
        <v>6.99</v>
      </c>
      <c r="S37" s="7">
        <v>4.3</v>
      </c>
      <c r="T37" s="7" t="s">
        <v>229</v>
      </c>
      <c r="U37" s="7">
        <v>1.007</v>
      </c>
      <c r="V37" s="7">
        <v>61.3</v>
      </c>
      <c r="W37" s="7">
        <v>60</v>
      </c>
      <c r="X37" s="7" t="s">
        <v>54</v>
      </c>
      <c r="Y37" s="7" t="s">
        <v>55</v>
      </c>
      <c r="Z37" s="7" t="s">
        <v>56</v>
      </c>
      <c r="AA37" s="7" t="s">
        <v>56</v>
      </c>
      <c r="AB37" s="7" t="s">
        <v>93</v>
      </c>
      <c r="AC37" s="7" t="s">
        <v>56</v>
      </c>
      <c r="AD37" s="7" t="s">
        <v>56</v>
      </c>
      <c r="AE37" s="7" t="s">
        <v>56</v>
      </c>
      <c r="AF37" s="7" t="s">
        <v>56</v>
      </c>
      <c r="AG37" s="7" t="s">
        <v>56</v>
      </c>
      <c r="AH37" s="7">
        <v>16640</v>
      </c>
      <c r="AI37" s="10" t="s">
        <v>59</v>
      </c>
      <c r="AJ37" s="7" t="s">
        <v>230</v>
      </c>
      <c r="AK37" s="7"/>
      <c r="AL37" s="7"/>
      <c r="AM37" s="7"/>
      <c r="AN37" s="7" t="s">
        <v>231</v>
      </c>
      <c r="AO37" s="7" t="b">
        <v>1</v>
      </c>
      <c r="AP37" s="7">
        <v>1</v>
      </c>
      <c r="AQ37" s="7">
        <v>1</v>
      </c>
      <c r="AR37" s="10" t="s">
        <v>62</v>
      </c>
    </row>
    <row r="38">
      <c r="A38" s="7">
        <v>36</v>
      </c>
      <c r="B38" s="7" t="s">
        <v>232</v>
      </c>
      <c r="C38" s="8" t="s">
        <v>46</v>
      </c>
      <c r="D38" s="7" t="s">
        <v>47</v>
      </c>
      <c r="E38" s="9">
        <v>1.3</v>
      </c>
      <c r="F38" s="7" t="s">
        <v>136</v>
      </c>
      <c r="G38" s="7" t="s">
        <v>141</v>
      </c>
      <c r="H38" s="7" t="s">
        <v>50</v>
      </c>
      <c r="I38" s="7" t="s">
        <v>50</v>
      </c>
      <c r="J38" s="9" t="s">
        <v>50</v>
      </c>
      <c r="K38" s="9" t="s">
        <v>51</v>
      </c>
      <c r="L38" s="9">
        <v>31.83</v>
      </c>
      <c r="M38" s="9">
        <v>6200</v>
      </c>
      <c r="N38" s="7">
        <v>4226.54</v>
      </c>
      <c r="O38" s="9">
        <f>M38*(100-L38)/100*E38</f>
      </c>
      <c r="P38" s="7" t="s">
        <v>52</v>
      </c>
      <c r="Q38" s="7">
        <v>6.95</v>
      </c>
      <c r="R38" s="9">
        <v>6.91</v>
      </c>
      <c r="S38" s="7">
        <v>4.33</v>
      </c>
      <c r="T38" s="7" t="s">
        <v>233</v>
      </c>
      <c r="U38" s="7">
        <v>1.006</v>
      </c>
      <c r="V38" s="7">
        <v>62.5</v>
      </c>
      <c r="W38" s="7">
        <v>57</v>
      </c>
      <c r="X38" s="7" t="s">
        <v>54</v>
      </c>
      <c r="Y38" s="7" t="s">
        <v>55</v>
      </c>
      <c r="Z38" s="7" t="s">
        <v>57</v>
      </c>
      <c r="AA38" s="7" t="s">
        <v>56</v>
      </c>
      <c r="AB38" s="7" t="s">
        <v>234</v>
      </c>
      <c r="AC38" s="10" t="s">
        <v>105</v>
      </c>
      <c r="AD38" s="7" t="s">
        <v>56</v>
      </c>
      <c r="AE38" s="7" t="s">
        <v>56</v>
      </c>
      <c r="AF38" s="7" t="s">
        <v>56</v>
      </c>
      <c r="AG38" s="7" t="s">
        <v>56</v>
      </c>
      <c r="AH38" s="7">
        <v>8060</v>
      </c>
      <c r="AI38" s="10" t="s">
        <v>59</v>
      </c>
      <c r="AJ38" s="7" t="s">
        <v>235</v>
      </c>
      <c r="AK38" s="7"/>
      <c r="AL38" s="7"/>
      <c r="AM38" s="7"/>
      <c r="AN38" s="7" t="s">
        <v>236</v>
      </c>
      <c r="AO38" s="7" t="b">
        <v>1</v>
      </c>
      <c r="AP38" s="7">
        <v>1</v>
      </c>
      <c r="AQ38" s="7">
        <v>1</v>
      </c>
      <c r="AR38" s="10" t="s">
        <v>62</v>
      </c>
    </row>
    <row r="39">
      <c r="A39" s="7">
        <v>37</v>
      </c>
      <c r="B39" s="7" t="s">
        <v>237</v>
      </c>
      <c r="C39" s="8" t="s">
        <v>46</v>
      </c>
      <c r="D39" s="7" t="s">
        <v>47</v>
      </c>
      <c r="E39" s="9">
        <v>1.3</v>
      </c>
      <c r="F39" s="7" t="s">
        <v>136</v>
      </c>
      <c r="G39" s="7" t="s">
        <v>238</v>
      </c>
      <c r="H39" s="7" t="s">
        <v>50</v>
      </c>
      <c r="I39" s="7" t="s">
        <v>50</v>
      </c>
      <c r="J39" s="9" t="s">
        <v>50</v>
      </c>
      <c r="K39" s="9" t="s">
        <v>51</v>
      </c>
      <c r="L39" s="9">
        <v>37.75</v>
      </c>
      <c r="M39" s="9">
        <v>11100</v>
      </c>
      <c r="N39" s="7">
        <v>6909.75</v>
      </c>
      <c r="O39" s="9">
        <f>M39*(100-L39)/100*E39</f>
      </c>
      <c r="P39" s="7" t="s">
        <v>52</v>
      </c>
      <c r="Q39" s="7">
        <v>6.95</v>
      </c>
      <c r="R39" s="9">
        <v>6.92</v>
      </c>
      <c r="S39" s="7">
        <v>4.33</v>
      </c>
      <c r="T39" s="7" t="s">
        <v>239</v>
      </c>
      <c r="U39" s="7">
        <v>1.004</v>
      </c>
      <c r="V39" s="7">
        <v>62.4</v>
      </c>
      <c r="W39" s="7">
        <v>58</v>
      </c>
      <c r="X39" s="7" t="s">
        <v>54</v>
      </c>
      <c r="Y39" s="7" t="s">
        <v>55</v>
      </c>
      <c r="Z39" s="7" t="s">
        <v>56</v>
      </c>
      <c r="AA39" s="7" t="s">
        <v>56</v>
      </c>
      <c r="AB39" s="7"/>
      <c r="AC39" s="7" t="s">
        <v>105</v>
      </c>
      <c r="AD39" s="7" t="s">
        <v>56</v>
      </c>
      <c r="AE39" s="7" t="s">
        <v>56</v>
      </c>
      <c r="AF39" s="7" t="s">
        <v>56</v>
      </c>
      <c r="AG39" s="7" t="s">
        <v>56</v>
      </c>
      <c r="AH39" s="7">
        <v>14430</v>
      </c>
      <c r="AI39" s="10" t="s">
        <v>59</v>
      </c>
      <c r="AJ39" s="7" t="s">
        <v>240</v>
      </c>
      <c r="AK39" s="7"/>
      <c r="AL39" s="7"/>
      <c r="AM39" s="7"/>
      <c r="AN39" s="7" t="s">
        <v>241</v>
      </c>
      <c r="AO39" s="7" t="b">
        <v>1</v>
      </c>
      <c r="AP39" s="7">
        <v>1</v>
      </c>
      <c r="AQ39" s="7">
        <v>1</v>
      </c>
      <c r="AR39" s="10" t="s">
        <v>62</v>
      </c>
    </row>
    <row r="40">
      <c r="A40" s="7">
        <v>38</v>
      </c>
      <c r="B40" s="7" t="s">
        <v>242</v>
      </c>
      <c r="C40" s="8" t="s">
        <v>46</v>
      </c>
      <c r="D40" s="7" t="s">
        <v>47</v>
      </c>
      <c r="E40" s="9">
        <v>1.23</v>
      </c>
      <c r="F40" s="7" t="s">
        <v>86</v>
      </c>
      <c r="G40" s="7" t="s">
        <v>70</v>
      </c>
      <c r="H40" s="7" t="s">
        <v>50</v>
      </c>
      <c r="I40" s="7" t="s">
        <v>50</v>
      </c>
      <c r="J40" s="9" t="s">
        <v>50</v>
      </c>
      <c r="K40" s="9" t="s">
        <v>51</v>
      </c>
      <c r="L40" s="9">
        <v>40.84</v>
      </c>
      <c r="M40" s="9">
        <v>9700</v>
      </c>
      <c r="N40" s="7">
        <v>5738.52</v>
      </c>
      <c r="O40" s="9">
        <f>M40*(100-L40)/100*E40</f>
      </c>
      <c r="P40" s="7" t="s">
        <v>52</v>
      </c>
      <c r="Q40" s="7">
        <v>6.8</v>
      </c>
      <c r="R40" s="9">
        <v>6.76</v>
      </c>
      <c r="S40" s="7">
        <v>4.24</v>
      </c>
      <c r="T40" s="7" t="s">
        <v>243</v>
      </c>
      <c r="U40" s="7">
        <v>1.006</v>
      </c>
      <c r="V40" s="7">
        <v>62.6</v>
      </c>
      <c r="W40" s="7">
        <v>59</v>
      </c>
      <c r="X40" s="7" t="s">
        <v>54</v>
      </c>
      <c r="Y40" s="7" t="s">
        <v>55</v>
      </c>
      <c r="Z40" s="7" t="s">
        <v>56</v>
      </c>
      <c r="AA40" s="7" t="s">
        <v>56</v>
      </c>
      <c r="AB40" s="7" t="s">
        <v>115</v>
      </c>
      <c r="AC40" s="10" t="s">
        <v>105</v>
      </c>
      <c r="AD40" s="7" t="s">
        <v>56</v>
      </c>
      <c r="AE40" s="7" t="s">
        <v>56</v>
      </c>
      <c r="AF40" s="7" t="s">
        <v>56</v>
      </c>
      <c r="AG40" s="7" t="s">
        <v>56</v>
      </c>
      <c r="AH40" s="7">
        <v>11931</v>
      </c>
      <c r="AI40" s="10" t="s">
        <v>59</v>
      </c>
      <c r="AJ40" s="7" t="s">
        <v>244</v>
      </c>
      <c r="AK40" s="7"/>
      <c r="AL40" s="7"/>
      <c r="AM40" s="7"/>
      <c r="AN40" s="7" t="s">
        <v>245</v>
      </c>
      <c r="AO40" s="7" t="b">
        <v>1</v>
      </c>
      <c r="AP40" s="7">
        <v>1</v>
      </c>
      <c r="AQ40" s="7">
        <v>1</v>
      </c>
      <c r="AR40" s="10" t="s">
        <v>62</v>
      </c>
    </row>
    <row r="41">
      <c r="A41" s="7">
        <v>39</v>
      </c>
      <c r="B41" s="7" t="s">
        <v>246</v>
      </c>
      <c r="C41" s="8" t="s">
        <v>46</v>
      </c>
      <c r="D41" s="7" t="s">
        <v>47</v>
      </c>
      <c r="E41" s="9">
        <v>1.22</v>
      </c>
      <c r="F41" s="7" t="s">
        <v>86</v>
      </c>
      <c r="G41" s="7" t="s">
        <v>70</v>
      </c>
      <c r="H41" s="7" t="s">
        <v>50</v>
      </c>
      <c r="I41" s="7" t="s">
        <v>50</v>
      </c>
      <c r="J41" s="9" t="s">
        <v>50</v>
      </c>
      <c r="K41" s="9" t="s">
        <v>51</v>
      </c>
      <c r="L41" s="9">
        <v>42.38</v>
      </c>
      <c r="M41" s="9">
        <v>9700</v>
      </c>
      <c r="N41" s="7">
        <v>5589.14</v>
      </c>
      <c r="O41" s="9">
        <f>M41*(100-L41)/100*E41</f>
      </c>
      <c r="P41" s="7" t="s">
        <v>52</v>
      </c>
      <c r="Q41" s="7">
        <v>6.83</v>
      </c>
      <c r="R41" s="9">
        <v>6.8</v>
      </c>
      <c r="S41" s="7">
        <v>4.26</v>
      </c>
      <c r="T41" s="7" t="s">
        <v>247</v>
      </c>
      <c r="U41" s="7">
        <v>1.004</v>
      </c>
      <c r="V41" s="7">
        <v>62.5</v>
      </c>
      <c r="W41" s="7">
        <v>56</v>
      </c>
      <c r="X41" s="7" t="s">
        <v>54</v>
      </c>
      <c r="Y41" s="7" t="s">
        <v>55</v>
      </c>
      <c r="Z41" s="7" t="s">
        <v>56</v>
      </c>
      <c r="AA41" s="7" t="s">
        <v>56</v>
      </c>
      <c r="AB41" s="7" t="s">
        <v>115</v>
      </c>
      <c r="AC41" s="10" t="s">
        <v>105</v>
      </c>
      <c r="AD41" s="7" t="s">
        <v>56</v>
      </c>
      <c r="AE41" s="7" t="s">
        <v>56</v>
      </c>
      <c r="AF41" s="7" t="s">
        <v>56</v>
      </c>
      <c r="AG41" s="7" t="s">
        <v>56</v>
      </c>
      <c r="AH41" s="7">
        <v>11834</v>
      </c>
      <c r="AI41" s="10" t="s">
        <v>59</v>
      </c>
      <c r="AJ41" s="7" t="s">
        <v>248</v>
      </c>
      <c r="AK41" s="7"/>
      <c r="AL41" s="7"/>
      <c r="AM41" s="7"/>
      <c r="AN41" s="7" t="s">
        <v>249</v>
      </c>
      <c r="AO41" s="7" t="b">
        <v>1</v>
      </c>
      <c r="AP41" s="7">
        <v>1</v>
      </c>
      <c r="AQ41" s="7">
        <v>1</v>
      </c>
      <c r="AR41" s="10" t="s">
        <v>62</v>
      </c>
    </row>
    <row r="42">
      <c r="A42" s="7">
        <v>40</v>
      </c>
      <c r="B42" s="7" t="s">
        <v>250</v>
      </c>
      <c r="C42" s="8" t="s">
        <v>46</v>
      </c>
      <c r="D42" s="7" t="s">
        <v>47</v>
      </c>
      <c r="E42" s="9">
        <v>1.2</v>
      </c>
      <c r="F42" s="7" t="s">
        <v>48</v>
      </c>
      <c r="G42" s="7" t="s">
        <v>70</v>
      </c>
      <c r="H42" s="7" t="s">
        <v>50</v>
      </c>
      <c r="I42" s="7" t="s">
        <v>50</v>
      </c>
      <c r="J42" s="9" t="s">
        <v>50</v>
      </c>
      <c r="K42" s="9" t="s">
        <v>51</v>
      </c>
      <c r="L42" s="9">
        <v>41.35</v>
      </c>
      <c r="M42" s="9">
        <v>9700</v>
      </c>
      <c r="N42" s="7">
        <v>5689.05</v>
      </c>
      <c r="O42" s="9">
        <f>M42*(100-L42)/100*E42</f>
      </c>
      <c r="P42" s="7" t="s">
        <v>52</v>
      </c>
      <c r="Q42" s="7">
        <v>6.8</v>
      </c>
      <c r="R42" s="9">
        <v>6.76</v>
      </c>
      <c r="S42" s="7">
        <v>4.23</v>
      </c>
      <c r="T42" s="7" t="s">
        <v>251</v>
      </c>
      <c r="U42" s="7">
        <v>1.006</v>
      </c>
      <c r="V42" s="7">
        <v>62.4</v>
      </c>
      <c r="W42" s="7">
        <v>59</v>
      </c>
      <c r="X42" s="7" t="s">
        <v>54</v>
      </c>
      <c r="Y42" s="7" t="s">
        <v>55</v>
      </c>
      <c r="Z42" s="7" t="s">
        <v>56</v>
      </c>
      <c r="AA42" s="7" t="s">
        <v>56</v>
      </c>
      <c r="AB42" s="7" t="s">
        <v>225</v>
      </c>
      <c r="AC42" s="7" t="s">
        <v>56</v>
      </c>
      <c r="AD42" s="7" t="s">
        <v>56</v>
      </c>
      <c r="AE42" s="7" t="s">
        <v>56</v>
      </c>
      <c r="AF42" s="7" t="s">
        <v>56</v>
      </c>
      <c r="AG42" s="7" t="s">
        <v>56</v>
      </c>
      <c r="AH42" s="7">
        <v>11640</v>
      </c>
      <c r="AI42" s="10" t="s">
        <v>59</v>
      </c>
      <c r="AJ42" s="7" t="s">
        <v>252</v>
      </c>
      <c r="AK42" s="7"/>
      <c r="AL42" s="7"/>
      <c r="AM42" s="7"/>
      <c r="AN42" s="7" t="s">
        <v>253</v>
      </c>
      <c r="AO42" s="7" t="b">
        <v>1</v>
      </c>
      <c r="AP42" s="7">
        <v>1</v>
      </c>
      <c r="AQ42" s="7">
        <v>1</v>
      </c>
      <c r="AR42" s="10" t="s">
        <v>62</v>
      </c>
    </row>
    <row r="43">
      <c r="A43" s="7">
        <v>41</v>
      </c>
      <c r="B43" s="7" t="s">
        <v>254</v>
      </c>
      <c r="C43" s="8" t="s">
        <v>46</v>
      </c>
      <c r="D43" s="7" t="s">
        <v>47</v>
      </c>
      <c r="E43" s="9">
        <v>1.2</v>
      </c>
      <c r="F43" s="7" t="s">
        <v>86</v>
      </c>
      <c r="G43" s="7" t="s">
        <v>91</v>
      </c>
      <c r="H43" s="7" t="s">
        <v>50</v>
      </c>
      <c r="I43" s="7" t="s">
        <v>50</v>
      </c>
      <c r="J43" s="9" t="s">
        <v>50</v>
      </c>
      <c r="K43" s="9" t="s">
        <v>51</v>
      </c>
      <c r="L43" s="9">
        <v>41.61</v>
      </c>
      <c r="M43" s="9">
        <v>12800</v>
      </c>
      <c r="N43" s="7">
        <v>7473.92</v>
      </c>
      <c r="O43" s="9">
        <f>M43*(100-L43)/100*E43</f>
      </c>
      <c r="P43" s="7" t="s">
        <v>52</v>
      </c>
      <c r="Q43" s="7">
        <v>6.82</v>
      </c>
      <c r="R43" s="9">
        <v>6.78</v>
      </c>
      <c r="S43" s="7">
        <v>4.15</v>
      </c>
      <c r="T43" s="7" t="s">
        <v>255</v>
      </c>
      <c r="U43" s="7">
        <v>1.006</v>
      </c>
      <c r="V43" s="7">
        <v>61.1</v>
      </c>
      <c r="W43" s="7">
        <v>60</v>
      </c>
      <c r="X43" s="7" t="s">
        <v>54</v>
      </c>
      <c r="Y43" s="7" t="s">
        <v>55</v>
      </c>
      <c r="Z43" s="7" t="s">
        <v>56</v>
      </c>
      <c r="AA43" s="7" t="s">
        <v>56</v>
      </c>
      <c r="AB43" s="7" t="s">
        <v>93</v>
      </c>
      <c r="AC43" s="10" t="s">
        <v>105</v>
      </c>
      <c r="AD43" s="7" t="s">
        <v>56</v>
      </c>
      <c r="AE43" s="7" t="s">
        <v>56</v>
      </c>
      <c r="AF43" s="7" t="s">
        <v>56</v>
      </c>
      <c r="AG43" s="7" t="s">
        <v>56</v>
      </c>
      <c r="AH43" s="7">
        <v>15360</v>
      </c>
      <c r="AI43" s="10" t="s">
        <v>59</v>
      </c>
      <c r="AJ43" s="7" t="s">
        <v>256</v>
      </c>
      <c r="AK43" s="7"/>
      <c r="AL43" s="7"/>
      <c r="AM43" s="7"/>
      <c r="AN43" s="7" t="s">
        <v>257</v>
      </c>
      <c r="AO43" s="7" t="b">
        <v>1</v>
      </c>
      <c r="AP43" s="7">
        <v>1</v>
      </c>
      <c r="AQ43" s="7">
        <v>1</v>
      </c>
      <c r="AR43" s="10" t="s">
        <v>62</v>
      </c>
    </row>
    <row r="44">
      <c r="A44" s="7">
        <v>42</v>
      </c>
      <c r="B44" s="7" t="s">
        <v>258</v>
      </c>
      <c r="C44" s="8" t="s">
        <v>46</v>
      </c>
      <c r="D44" s="7" t="s">
        <v>47</v>
      </c>
      <c r="E44" s="9">
        <v>1.2</v>
      </c>
      <c r="F44" s="7" t="s">
        <v>211</v>
      </c>
      <c r="G44" s="7" t="s">
        <v>91</v>
      </c>
      <c r="H44" s="7" t="s">
        <v>50</v>
      </c>
      <c r="I44" s="7" t="s">
        <v>50</v>
      </c>
      <c r="J44" s="9" t="s">
        <v>50</v>
      </c>
      <c r="K44" s="9" t="s">
        <v>51</v>
      </c>
      <c r="L44" s="9">
        <v>38.52</v>
      </c>
      <c r="M44" s="9">
        <v>9700</v>
      </c>
      <c r="N44" s="7">
        <v>5963.56</v>
      </c>
      <c r="O44" s="9">
        <f>M44*(100-L44)/100*E44</f>
      </c>
      <c r="P44" s="7" t="s">
        <v>52</v>
      </c>
      <c r="Q44" s="7">
        <v>6.84</v>
      </c>
      <c r="R44" s="9">
        <v>6.8</v>
      </c>
      <c r="S44" s="7">
        <v>4.19</v>
      </c>
      <c r="T44" s="7" t="s">
        <v>259</v>
      </c>
      <c r="U44" s="7">
        <v>1.006</v>
      </c>
      <c r="V44" s="7">
        <v>61.5</v>
      </c>
      <c r="W44" s="7">
        <v>60</v>
      </c>
      <c r="X44" s="7" t="s">
        <v>54</v>
      </c>
      <c r="Y44" s="7" t="s">
        <v>55</v>
      </c>
      <c r="Z44" s="7" t="s">
        <v>56</v>
      </c>
      <c r="AA44" s="7" t="s">
        <v>56</v>
      </c>
      <c r="AB44" s="7" t="s">
        <v>78</v>
      </c>
      <c r="AC44" s="7" t="s">
        <v>56</v>
      </c>
      <c r="AD44" s="7" t="s">
        <v>56</v>
      </c>
      <c r="AE44" s="7" t="s">
        <v>56</v>
      </c>
      <c r="AF44" s="7" t="s">
        <v>56</v>
      </c>
      <c r="AG44" s="7" t="s">
        <v>56</v>
      </c>
      <c r="AH44" s="7">
        <v>11640</v>
      </c>
      <c r="AI44" s="10" t="s">
        <v>59</v>
      </c>
      <c r="AJ44" s="7" t="s">
        <v>260</v>
      </c>
      <c r="AK44" s="7"/>
      <c r="AL44" s="7"/>
      <c r="AM44" s="7"/>
      <c r="AN44" s="7" t="s">
        <v>261</v>
      </c>
      <c r="AO44" s="7" t="b">
        <v>1</v>
      </c>
      <c r="AP44" s="7">
        <v>1</v>
      </c>
      <c r="AQ44" s="7">
        <v>1</v>
      </c>
      <c r="AR44" s="10" t="s">
        <v>62</v>
      </c>
    </row>
    <row r="45">
      <c r="A45" s="7">
        <v>43</v>
      </c>
      <c r="B45" s="7" t="s">
        <v>262</v>
      </c>
      <c r="C45" s="8" t="s">
        <v>46</v>
      </c>
      <c r="D45" s="7" t="s">
        <v>47</v>
      </c>
      <c r="E45" s="9">
        <v>1.17</v>
      </c>
      <c r="F45" s="7" t="s">
        <v>119</v>
      </c>
      <c r="G45" s="7" t="s">
        <v>263</v>
      </c>
      <c r="H45" s="7" t="s">
        <v>50</v>
      </c>
      <c r="I45" s="7" t="s">
        <v>50</v>
      </c>
      <c r="J45" s="9" t="s">
        <v>50</v>
      </c>
      <c r="K45" s="9" t="s">
        <v>51</v>
      </c>
      <c r="L45" s="9">
        <v>47.53</v>
      </c>
      <c r="M45" s="9">
        <v>8800</v>
      </c>
      <c r="N45" s="7">
        <v>4617.36</v>
      </c>
      <c r="O45" s="9">
        <f>M45*(100-L45)/100*E45</f>
      </c>
      <c r="P45" s="7" t="s">
        <v>52</v>
      </c>
      <c r="Q45" s="7">
        <v>6.71</v>
      </c>
      <c r="R45" s="9">
        <v>6.68</v>
      </c>
      <c r="S45" s="7">
        <v>4.19</v>
      </c>
      <c r="T45" s="7" t="s">
        <v>264</v>
      </c>
      <c r="U45" s="7">
        <v>1.004</v>
      </c>
      <c r="V45" s="7">
        <v>62.6</v>
      </c>
      <c r="W45" s="7">
        <v>58</v>
      </c>
      <c r="X45" s="7" t="s">
        <v>265</v>
      </c>
      <c r="Y45" s="7" t="s">
        <v>55</v>
      </c>
      <c r="Z45" s="7" t="s">
        <v>56</v>
      </c>
      <c r="AA45" s="7" t="s">
        <v>56</v>
      </c>
      <c r="AB45" s="7" t="s">
        <v>78</v>
      </c>
      <c r="AC45" s="10" t="s">
        <v>73</v>
      </c>
      <c r="AD45" s="7" t="s">
        <v>56</v>
      </c>
      <c r="AE45" s="7" t="s">
        <v>56</v>
      </c>
      <c r="AF45" s="7" t="s">
        <v>56</v>
      </c>
      <c r="AG45" s="7" t="s">
        <v>56</v>
      </c>
      <c r="AH45" s="7">
        <v>10296</v>
      </c>
      <c r="AI45" s="10" t="s">
        <v>59</v>
      </c>
      <c r="AJ45" s="7" t="s">
        <v>266</v>
      </c>
      <c r="AK45" s="7"/>
      <c r="AL45" s="7"/>
      <c r="AM45" s="7"/>
      <c r="AN45" s="7" t="s">
        <v>267</v>
      </c>
      <c r="AO45" s="7" t="b">
        <v>1</v>
      </c>
      <c r="AP45" s="7">
        <v>1</v>
      </c>
      <c r="AQ45" s="7">
        <v>1</v>
      </c>
      <c r="AR45" s="10" t="s">
        <v>62</v>
      </c>
    </row>
    <row r="46">
      <c r="A46" s="7">
        <v>44</v>
      </c>
      <c r="B46" s="7" t="s">
        <v>268</v>
      </c>
      <c r="C46" s="8" t="s">
        <v>46</v>
      </c>
      <c r="D46" s="7" t="s">
        <v>47</v>
      </c>
      <c r="E46" s="9">
        <v>1.16</v>
      </c>
      <c r="F46" s="7" t="s">
        <v>86</v>
      </c>
      <c r="G46" s="7" t="s">
        <v>91</v>
      </c>
      <c r="H46" s="7" t="s">
        <v>50</v>
      </c>
      <c r="I46" s="7" t="s">
        <v>50</v>
      </c>
      <c r="J46" s="9" t="s">
        <v>50</v>
      </c>
      <c r="K46" s="9" t="s">
        <v>51</v>
      </c>
      <c r="L46" s="9">
        <v>44.95</v>
      </c>
      <c r="M46" s="9">
        <v>12800</v>
      </c>
      <c r="N46" s="7">
        <v>7046.4</v>
      </c>
      <c r="O46" s="9">
        <f>M46*(100-L46)/100*E46</f>
      </c>
      <c r="P46" s="7" t="s">
        <v>52</v>
      </c>
      <c r="Q46" s="7">
        <v>6.7</v>
      </c>
      <c r="R46" s="9">
        <v>6.66</v>
      </c>
      <c r="S46" s="7">
        <v>4.18</v>
      </c>
      <c r="T46" s="7" t="s">
        <v>269</v>
      </c>
      <c r="U46" s="7">
        <v>1.006</v>
      </c>
      <c r="V46" s="7">
        <v>62.6</v>
      </c>
      <c r="W46" s="7">
        <v>57</v>
      </c>
      <c r="X46" s="7" t="s">
        <v>54</v>
      </c>
      <c r="Y46" s="7" t="s">
        <v>55</v>
      </c>
      <c r="Z46" s="7" t="s">
        <v>56</v>
      </c>
      <c r="AA46" s="7" t="s">
        <v>56</v>
      </c>
      <c r="AB46" s="7" t="s">
        <v>93</v>
      </c>
      <c r="AC46" s="10" t="s">
        <v>105</v>
      </c>
      <c r="AD46" s="7" t="s">
        <v>56</v>
      </c>
      <c r="AE46" s="7" t="s">
        <v>56</v>
      </c>
      <c r="AF46" s="7" t="s">
        <v>56</v>
      </c>
      <c r="AG46" s="7" t="s">
        <v>56</v>
      </c>
      <c r="AH46" s="7">
        <v>14848</v>
      </c>
      <c r="AI46" s="10" t="s">
        <v>59</v>
      </c>
      <c r="AJ46" s="7" t="s">
        <v>270</v>
      </c>
      <c r="AK46" s="7"/>
      <c r="AL46" s="7"/>
      <c r="AM46" s="7"/>
      <c r="AN46" s="7" t="s">
        <v>271</v>
      </c>
      <c r="AO46" s="7" t="b">
        <v>1</v>
      </c>
      <c r="AP46" s="7">
        <v>1</v>
      </c>
      <c r="AQ46" s="7">
        <v>1</v>
      </c>
      <c r="AR46" s="10" t="s">
        <v>62</v>
      </c>
    </row>
    <row r="47">
      <c r="A47" s="7">
        <v>45</v>
      </c>
      <c r="B47" s="7" t="s">
        <v>272</v>
      </c>
      <c r="C47" s="8" t="s">
        <v>46</v>
      </c>
      <c r="D47" s="7" t="s">
        <v>47</v>
      </c>
      <c r="E47" s="9">
        <v>1.15</v>
      </c>
      <c r="F47" s="7" t="s">
        <v>86</v>
      </c>
      <c r="G47" s="7" t="s">
        <v>70</v>
      </c>
      <c r="H47" s="7" t="s">
        <v>50</v>
      </c>
      <c r="I47" s="7" t="s">
        <v>50</v>
      </c>
      <c r="J47" s="9" t="s">
        <v>50</v>
      </c>
      <c r="K47" s="9" t="s">
        <v>51</v>
      </c>
      <c r="L47" s="9">
        <v>43.92</v>
      </c>
      <c r="M47" s="9">
        <v>9700</v>
      </c>
      <c r="N47" s="7">
        <v>5439.76</v>
      </c>
      <c r="O47" s="9">
        <f>M47*(100-L47)/100*E47</f>
      </c>
      <c r="P47" s="7" t="s">
        <v>52</v>
      </c>
      <c r="Q47" s="7">
        <v>6.67</v>
      </c>
      <c r="R47" s="9">
        <v>6.64</v>
      </c>
      <c r="S47" s="7">
        <v>4.16</v>
      </c>
      <c r="T47" s="7" t="s">
        <v>273</v>
      </c>
      <c r="U47" s="7">
        <v>1.005</v>
      </c>
      <c r="V47" s="7">
        <v>62.5</v>
      </c>
      <c r="W47" s="7">
        <v>59</v>
      </c>
      <c r="X47" s="7" t="s">
        <v>54</v>
      </c>
      <c r="Y47" s="7" t="s">
        <v>55</v>
      </c>
      <c r="Z47" s="7" t="s">
        <v>56</v>
      </c>
      <c r="AA47" s="7" t="s">
        <v>56</v>
      </c>
      <c r="AB47" s="7" t="s">
        <v>115</v>
      </c>
      <c r="AC47" s="10" t="s">
        <v>105</v>
      </c>
      <c r="AD47" s="7" t="s">
        <v>56</v>
      </c>
      <c r="AE47" s="7" t="s">
        <v>56</v>
      </c>
      <c r="AF47" s="7" t="s">
        <v>56</v>
      </c>
      <c r="AG47" s="7" t="s">
        <v>56</v>
      </c>
      <c r="AH47" s="7">
        <v>11155</v>
      </c>
      <c r="AI47" s="10" t="s">
        <v>59</v>
      </c>
      <c r="AJ47" s="7" t="s">
        <v>274</v>
      </c>
      <c r="AK47" s="7"/>
      <c r="AL47" s="7"/>
      <c r="AM47" s="7"/>
      <c r="AN47" s="7" t="s">
        <v>275</v>
      </c>
      <c r="AO47" s="7" t="b">
        <v>1</v>
      </c>
      <c r="AP47" s="7">
        <v>1</v>
      </c>
      <c r="AQ47" s="7">
        <v>1</v>
      </c>
      <c r="AR47" s="10" t="s">
        <v>62</v>
      </c>
    </row>
    <row r="48">
      <c r="A48" s="7">
        <v>46</v>
      </c>
      <c r="B48" s="7" t="s">
        <v>276</v>
      </c>
      <c r="C48" s="8" t="s">
        <v>46</v>
      </c>
      <c r="D48" s="7" t="s">
        <v>47</v>
      </c>
      <c r="E48" s="9">
        <v>1.15</v>
      </c>
      <c r="F48" s="7" t="s">
        <v>86</v>
      </c>
      <c r="G48" s="7" t="s">
        <v>263</v>
      </c>
      <c r="H48" s="7" t="s">
        <v>50</v>
      </c>
      <c r="I48" s="7" t="s">
        <v>50</v>
      </c>
      <c r="J48" s="9" t="s">
        <v>50</v>
      </c>
      <c r="K48" s="9" t="s">
        <v>51</v>
      </c>
      <c r="L48" s="9">
        <v>42.9</v>
      </c>
      <c r="M48" s="9">
        <v>9700</v>
      </c>
      <c r="N48" s="7">
        <v>5538.7</v>
      </c>
      <c r="O48" s="9">
        <f>M48*(100-L48)/100*E48</f>
      </c>
      <c r="P48" s="7" t="s">
        <v>52</v>
      </c>
      <c r="Q48" s="7">
        <v>6.66</v>
      </c>
      <c r="R48" s="9">
        <v>6.61</v>
      </c>
      <c r="S48" s="7">
        <v>4.16</v>
      </c>
      <c r="T48" s="7" t="s">
        <v>277</v>
      </c>
      <c r="U48" s="7">
        <v>1.008</v>
      </c>
      <c r="V48" s="7">
        <v>62.7</v>
      </c>
      <c r="W48" s="7">
        <v>59</v>
      </c>
      <c r="X48" s="7" t="s">
        <v>54</v>
      </c>
      <c r="Y48" s="7" t="s">
        <v>55</v>
      </c>
      <c r="Z48" s="7" t="s">
        <v>56</v>
      </c>
      <c r="AA48" s="7" t="s">
        <v>56</v>
      </c>
      <c r="AB48" s="7" t="s">
        <v>78</v>
      </c>
      <c r="AC48" s="10" t="s">
        <v>56</v>
      </c>
      <c r="AD48" s="7" t="s">
        <v>56</v>
      </c>
      <c r="AE48" s="7" t="s">
        <v>56</v>
      </c>
      <c r="AF48" s="7" t="s">
        <v>56</v>
      </c>
      <c r="AG48" s="7" t="s">
        <v>56</v>
      </c>
      <c r="AH48" s="7">
        <v>11155</v>
      </c>
      <c r="AI48" s="10" t="s">
        <v>59</v>
      </c>
      <c r="AJ48" s="7" t="s">
        <v>278</v>
      </c>
      <c r="AK48" s="7"/>
      <c r="AL48" s="7"/>
      <c r="AM48" s="7"/>
      <c r="AN48" s="7" t="s">
        <v>279</v>
      </c>
      <c r="AO48" s="7" t="b">
        <v>1</v>
      </c>
      <c r="AP48" s="7">
        <v>1</v>
      </c>
      <c r="AQ48" s="7">
        <v>1</v>
      </c>
      <c r="AR48" s="10" t="s">
        <v>62</v>
      </c>
    </row>
    <row r="49">
      <c r="A49" s="7">
        <v>47</v>
      </c>
      <c r="B49" s="7" t="s">
        <v>280</v>
      </c>
      <c r="C49" s="8" t="s">
        <v>46</v>
      </c>
      <c r="D49" s="7" t="s">
        <v>47</v>
      </c>
      <c r="E49" s="9">
        <v>1.15</v>
      </c>
      <c r="F49" s="7" t="s">
        <v>136</v>
      </c>
      <c r="G49" s="7" t="s">
        <v>91</v>
      </c>
      <c r="H49" s="7" t="s">
        <v>50</v>
      </c>
      <c r="I49" s="7" t="s">
        <v>50</v>
      </c>
      <c r="J49" s="9" t="s">
        <v>50</v>
      </c>
      <c r="K49" s="9" t="s">
        <v>51</v>
      </c>
      <c r="L49" s="9">
        <v>42.12</v>
      </c>
      <c r="M49" s="9">
        <v>11100</v>
      </c>
      <c r="N49" s="7">
        <v>6424.68</v>
      </c>
      <c r="O49" s="9">
        <f>M49*(100-L49)/100*E49</f>
      </c>
      <c r="P49" s="7" t="s">
        <v>52</v>
      </c>
      <c r="Q49" s="7">
        <v>6.67</v>
      </c>
      <c r="R49" s="9">
        <v>6.66</v>
      </c>
      <c r="S49" s="7">
        <v>4.17</v>
      </c>
      <c r="T49" s="7" t="s">
        <v>281</v>
      </c>
      <c r="U49" s="7">
        <v>1.002</v>
      </c>
      <c r="V49" s="7">
        <v>62.6</v>
      </c>
      <c r="W49" s="7">
        <v>57</v>
      </c>
      <c r="X49" s="7" t="s">
        <v>54</v>
      </c>
      <c r="Y49" s="7" t="s">
        <v>55</v>
      </c>
      <c r="Z49" s="7" t="s">
        <v>56</v>
      </c>
      <c r="AA49" s="7" t="s">
        <v>56</v>
      </c>
      <c r="AB49" s="7" t="s">
        <v>93</v>
      </c>
      <c r="AC49" s="7" t="s">
        <v>56</v>
      </c>
      <c r="AD49" s="7" t="s">
        <v>56</v>
      </c>
      <c r="AE49" s="7" t="s">
        <v>56</v>
      </c>
      <c r="AF49" s="7" t="s">
        <v>56</v>
      </c>
      <c r="AG49" s="7" t="s">
        <v>56</v>
      </c>
      <c r="AH49" s="7">
        <v>12765</v>
      </c>
      <c r="AI49" s="10" t="s">
        <v>59</v>
      </c>
      <c r="AJ49" s="7" t="s">
        <v>282</v>
      </c>
      <c r="AK49" s="7"/>
      <c r="AL49" s="7"/>
      <c r="AM49" s="7"/>
      <c r="AN49" s="7" t="s">
        <v>283</v>
      </c>
      <c r="AO49" s="7" t="b">
        <v>1</v>
      </c>
      <c r="AP49" s="7">
        <v>1</v>
      </c>
      <c r="AQ49" s="7">
        <v>1</v>
      </c>
      <c r="AR49" s="10" t="s">
        <v>62</v>
      </c>
    </row>
    <row r="50">
      <c r="A50" s="7">
        <v>48</v>
      </c>
      <c r="B50" s="7" t="s">
        <v>284</v>
      </c>
      <c r="C50" s="8" t="s">
        <v>46</v>
      </c>
      <c r="D50" s="7" t="s">
        <v>47</v>
      </c>
      <c r="E50" s="9">
        <v>1.13</v>
      </c>
      <c r="F50" s="7" t="s">
        <v>86</v>
      </c>
      <c r="G50" s="7" t="s">
        <v>127</v>
      </c>
      <c r="H50" s="7" t="s">
        <v>50</v>
      </c>
      <c r="I50" s="7" t="s">
        <v>50</v>
      </c>
      <c r="J50" s="9" t="s">
        <v>50</v>
      </c>
      <c r="K50" s="9" t="s">
        <v>51</v>
      </c>
      <c r="L50" s="9">
        <v>47.78</v>
      </c>
      <c r="M50" s="9">
        <v>12800</v>
      </c>
      <c r="N50" s="7">
        <v>6684.16</v>
      </c>
      <c r="O50" s="9">
        <f>M50*(100-L50)/100*E50</f>
      </c>
      <c r="P50" s="7" t="s">
        <v>52</v>
      </c>
      <c r="Q50" s="7">
        <v>6.64</v>
      </c>
      <c r="R50" s="9">
        <v>6.59</v>
      </c>
      <c r="S50" s="7">
        <v>4.13</v>
      </c>
      <c r="T50" s="7" t="s">
        <v>285</v>
      </c>
      <c r="U50" s="7">
        <v>1.008</v>
      </c>
      <c r="V50" s="7">
        <v>62.4</v>
      </c>
      <c r="W50" s="7">
        <v>58</v>
      </c>
      <c r="X50" s="7" t="s">
        <v>54</v>
      </c>
      <c r="Y50" s="7" t="s">
        <v>55</v>
      </c>
      <c r="Z50" s="7" t="s">
        <v>56</v>
      </c>
      <c r="AA50" s="7" t="s">
        <v>56</v>
      </c>
      <c r="AB50" s="7" t="s">
        <v>78</v>
      </c>
      <c r="AC50" s="10" t="s">
        <v>105</v>
      </c>
      <c r="AD50" s="7" t="s">
        <v>56</v>
      </c>
      <c r="AE50" s="7" t="s">
        <v>56</v>
      </c>
      <c r="AF50" s="7" t="s">
        <v>56</v>
      </c>
      <c r="AG50" s="7" t="s">
        <v>56</v>
      </c>
      <c r="AH50" s="7">
        <v>14464</v>
      </c>
      <c r="AI50" s="10" t="s">
        <v>59</v>
      </c>
      <c r="AJ50" s="7" t="s">
        <v>286</v>
      </c>
      <c r="AK50" s="7"/>
      <c r="AL50" s="7"/>
      <c r="AM50" s="7"/>
      <c r="AN50" s="7" t="s">
        <v>287</v>
      </c>
      <c r="AO50" s="7" t="b">
        <v>1</v>
      </c>
      <c r="AP50" s="7">
        <v>1</v>
      </c>
      <c r="AQ50" s="7">
        <v>1</v>
      </c>
      <c r="AR50" s="10" t="s">
        <v>62</v>
      </c>
    </row>
    <row r="51">
      <c r="A51" s="7">
        <v>49</v>
      </c>
      <c r="B51" s="7" t="s">
        <v>288</v>
      </c>
      <c r="C51" s="8" t="s">
        <v>46</v>
      </c>
      <c r="D51" s="7" t="s">
        <v>47</v>
      </c>
      <c r="E51" s="9">
        <v>1.13</v>
      </c>
      <c r="F51" s="7" t="s">
        <v>183</v>
      </c>
      <c r="G51" s="7" t="s">
        <v>91</v>
      </c>
      <c r="H51" s="7" t="s">
        <v>50</v>
      </c>
      <c r="I51" s="7" t="s">
        <v>50</v>
      </c>
      <c r="J51" s="9" t="s">
        <v>50</v>
      </c>
      <c r="K51" s="9" t="s">
        <v>51</v>
      </c>
      <c r="L51" s="9">
        <v>41.35</v>
      </c>
      <c r="M51" s="9">
        <v>11100</v>
      </c>
      <c r="N51" s="7">
        <v>6510.15</v>
      </c>
      <c r="O51" s="9">
        <f>M51*(100-L51)/100*E51</f>
      </c>
      <c r="P51" s="7" t="s">
        <v>52</v>
      </c>
      <c r="Q51" s="7">
        <v>6.65</v>
      </c>
      <c r="R51" s="9">
        <v>6.61</v>
      </c>
      <c r="S51" s="7">
        <v>4.08</v>
      </c>
      <c r="T51" s="7" t="s">
        <v>289</v>
      </c>
      <c r="U51" s="7">
        <v>1.006</v>
      </c>
      <c r="V51" s="7">
        <v>61.6</v>
      </c>
      <c r="W51" s="7">
        <v>60</v>
      </c>
      <c r="X51" s="7" t="s">
        <v>54</v>
      </c>
      <c r="Y51" s="7" t="s">
        <v>55</v>
      </c>
      <c r="Z51" s="7" t="s">
        <v>56</v>
      </c>
      <c r="AA51" s="7" t="s">
        <v>56</v>
      </c>
      <c r="AB51" s="7" t="s">
        <v>93</v>
      </c>
      <c r="AC51" s="10" t="s">
        <v>105</v>
      </c>
      <c r="AD51" s="7" t="s">
        <v>56</v>
      </c>
      <c r="AE51" s="7" t="s">
        <v>56</v>
      </c>
      <c r="AF51" s="7" t="s">
        <v>56</v>
      </c>
      <c r="AG51" s="7" t="s">
        <v>56</v>
      </c>
      <c r="AH51" s="7">
        <v>12543</v>
      </c>
      <c r="AI51" s="10" t="s">
        <v>59</v>
      </c>
      <c r="AJ51" s="7" t="s">
        <v>290</v>
      </c>
      <c r="AK51" s="7"/>
      <c r="AL51" s="7"/>
      <c r="AM51" s="7"/>
      <c r="AN51" s="7" t="s">
        <v>291</v>
      </c>
      <c r="AO51" s="7" t="b">
        <v>1</v>
      </c>
      <c r="AP51" s="7">
        <v>1</v>
      </c>
      <c r="AQ51" s="7">
        <v>1</v>
      </c>
      <c r="AR51" s="10" t="s">
        <v>62</v>
      </c>
    </row>
    <row r="52">
      <c r="A52" s="7">
        <v>50</v>
      </c>
      <c r="B52" s="7" t="s">
        <v>292</v>
      </c>
      <c r="C52" s="8" t="s">
        <v>46</v>
      </c>
      <c r="D52" s="7" t="s">
        <v>47</v>
      </c>
      <c r="E52" s="9">
        <v>1.12</v>
      </c>
      <c r="F52" s="7" t="s">
        <v>86</v>
      </c>
      <c r="G52" s="7" t="s">
        <v>70</v>
      </c>
      <c r="H52" s="7" t="s">
        <v>50</v>
      </c>
      <c r="I52" s="7" t="s">
        <v>50</v>
      </c>
      <c r="J52" s="9" t="s">
        <v>50</v>
      </c>
      <c r="K52" s="9" t="s">
        <v>51</v>
      </c>
      <c r="L52" s="9">
        <v>44.44</v>
      </c>
      <c r="M52" s="9">
        <v>9700</v>
      </c>
      <c r="N52" s="7">
        <v>5389.32</v>
      </c>
      <c r="O52" s="9">
        <f>M52*(100-L52)/100*E52</f>
      </c>
      <c r="P52" s="7" t="s">
        <v>52</v>
      </c>
      <c r="Q52" s="7">
        <v>6.6</v>
      </c>
      <c r="R52" s="9">
        <v>6.58</v>
      </c>
      <c r="S52" s="7">
        <v>4.14</v>
      </c>
      <c r="T52" s="7" t="s">
        <v>293</v>
      </c>
      <c r="U52" s="7">
        <v>1.003</v>
      </c>
      <c r="V52" s="7">
        <v>62.8</v>
      </c>
      <c r="W52" s="7">
        <v>57</v>
      </c>
      <c r="X52" s="7" t="s">
        <v>54</v>
      </c>
      <c r="Y52" s="7" t="s">
        <v>55</v>
      </c>
      <c r="Z52" s="7" t="s">
        <v>56</v>
      </c>
      <c r="AA52" s="7" t="s">
        <v>56</v>
      </c>
      <c r="AB52" s="7" t="s">
        <v>115</v>
      </c>
      <c r="AC52" s="10" t="s">
        <v>105</v>
      </c>
      <c r="AD52" s="7" t="s">
        <v>56</v>
      </c>
      <c r="AE52" s="7" t="s">
        <v>56</v>
      </c>
      <c r="AF52" s="7" t="s">
        <v>56</v>
      </c>
      <c r="AG52" s="7" t="s">
        <v>56</v>
      </c>
      <c r="AH52" s="7">
        <v>10864</v>
      </c>
      <c r="AI52" s="10" t="s">
        <v>59</v>
      </c>
      <c r="AJ52" s="7" t="s">
        <v>294</v>
      </c>
      <c r="AK52" s="7"/>
      <c r="AL52" s="7"/>
      <c r="AM52" s="7"/>
      <c r="AN52" s="7" t="s">
        <v>295</v>
      </c>
      <c r="AO52" s="7" t="b">
        <v>1</v>
      </c>
      <c r="AP52" s="7">
        <v>1</v>
      </c>
      <c r="AQ52" s="7">
        <v>1</v>
      </c>
      <c r="AR52" s="10" t="s">
        <v>62</v>
      </c>
    </row>
    <row r="53">
      <c r="A53" s="7">
        <v>51</v>
      </c>
      <c r="B53" s="7" t="s">
        <v>296</v>
      </c>
      <c r="C53" s="8" t="s">
        <v>46</v>
      </c>
      <c r="D53" s="7" t="s">
        <v>47</v>
      </c>
      <c r="E53" s="9">
        <v>1.12</v>
      </c>
      <c r="F53" s="7" t="s">
        <v>188</v>
      </c>
      <c r="G53" s="7" t="s">
        <v>91</v>
      </c>
      <c r="H53" s="7" t="s">
        <v>50</v>
      </c>
      <c r="I53" s="7" t="s">
        <v>50</v>
      </c>
      <c r="J53" s="9" t="s">
        <v>50</v>
      </c>
      <c r="K53" s="9" t="s">
        <v>51</v>
      </c>
      <c r="L53" s="9">
        <v>44.7</v>
      </c>
      <c r="M53" s="9">
        <v>9700</v>
      </c>
      <c r="N53" s="7">
        <v>5364.1</v>
      </c>
      <c r="O53" s="9">
        <f>M53*(100-L53)/100*E53</f>
      </c>
      <c r="P53" s="7" t="s">
        <v>52</v>
      </c>
      <c r="Q53" s="7">
        <v>6.69</v>
      </c>
      <c r="R53" s="9">
        <v>6.66</v>
      </c>
      <c r="S53" s="7">
        <v>4.13</v>
      </c>
      <c r="T53" s="7" t="s">
        <v>297</v>
      </c>
      <c r="U53" s="7">
        <v>1.005</v>
      </c>
      <c r="V53" s="7">
        <v>61.9</v>
      </c>
      <c r="W53" s="7">
        <v>60</v>
      </c>
      <c r="X53" s="7" t="s">
        <v>54</v>
      </c>
      <c r="Y53" s="7" t="s">
        <v>55</v>
      </c>
      <c r="Z53" s="7" t="s">
        <v>56</v>
      </c>
      <c r="AA53" s="7" t="s">
        <v>56</v>
      </c>
      <c r="AB53" s="7" t="s">
        <v>93</v>
      </c>
      <c r="AC53" s="7" t="s">
        <v>56</v>
      </c>
      <c r="AD53" s="7" t="s">
        <v>56</v>
      </c>
      <c r="AE53" s="7" t="s">
        <v>56</v>
      </c>
      <c r="AF53" s="7" t="s">
        <v>56</v>
      </c>
      <c r="AG53" s="7" t="s">
        <v>56</v>
      </c>
      <c r="AH53" s="7">
        <v>10864</v>
      </c>
      <c r="AI53" s="10" t="s">
        <v>59</v>
      </c>
      <c r="AJ53" s="7" t="s">
        <v>298</v>
      </c>
      <c r="AK53" s="7"/>
      <c r="AL53" s="7"/>
      <c r="AM53" s="7"/>
      <c r="AN53" s="7" t="s">
        <v>299</v>
      </c>
      <c r="AO53" s="7" t="b">
        <v>1</v>
      </c>
      <c r="AP53" s="7">
        <v>1</v>
      </c>
      <c r="AQ53" s="7">
        <v>1</v>
      </c>
      <c r="AR53" s="10" t="s">
        <v>62</v>
      </c>
    </row>
    <row r="54">
      <c r="A54" s="7">
        <v>52</v>
      </c>
      <c r="B54" s="7" t="s">
        <v>300</v>
      </c>
      <c r="C54" s="8" t="s">
        <v>46</v>
      </c>
      <c r="D54" s="7" t="s">
        <v>47</v>
      </c>
      <c r="E54" s="9">
        <v>1.11</v>
      </c>
      <c r="F54" s="7" t="s">
        <v>136</v>
      </c>
      <c r="G54" s="7" t="s">
        <v>120</v>
      </c>
      <c r="H54" s="7" t="s">
        <v>50</v>
      </c>
      <c r="I54" s="7" t="s">
        <v>50</v>
      </c>
      <c r="J54" s="9" t="s">
        <v>50</v>
      </c>
      <c r="K54" s="9" t="s">
        <v>51</v>
      </c>
      <c r="L54" s="9">
        <v>43.41</v>
      </c>
      <c r="M54" s="9">
        <v>7500</v>
      </c>
      <c r="N54" s="7">
        <v>4244.25</v>
      </c>
      <c r="O54" s="9">
        <f>M54*(100-L54)/100*E54</f>
      </c>
      <c r="P54" s="7" t="s">
        <v>52</v>
      </c>
      <c r="Q54" s="7">
        <v>6.63</v>
      </c>
      <c r="R54" s="9">
        <v>6.58</v>
      </c>
      <c r="S54" s="7">
        <v>4.08</v>
      </c>
      <c r="T54" s="7" t="s">
        <v>301</v>
      </c>
      <c r="U54" s="7">
        <v>1.008</v>
      </c>
      <c r="V54" s="7">
        <v>61.8</v>
      </c>
      <c r="W54" s="7">
        <v>57</v>
      </c>
      <c r="X54" s="7" t="s">
        <v>302</v>
      </c>
      <c r="Y54" s="7" t="s">
        <v>302</v>
      </c>
      <c r="Z54" s="7" t="s">
        <v>302</v>
      </c>
      <c r="AA54" s="7" t="s">
        <v>302</v>
      </c>
      <c r="AB54" s="7" t="s">
        <v>303</v>
      </c>
      <c r="AC54" s="7" t="s">
        <v>302</v>
      </c>
      <c r="AD54" s="7" t="s">
        <v>302</v>
      </c>
      <c r="AE54" s="7" t="s">
        <v>302</v>
      </c>
      <c r="AF54" s="7" t="s">
        <v>302</v>
      </c>
      <c r="AG54" s="7" t="s">
        <v>302</v>
      </c>
      <c r="AH54" s="7">
        <v>8325</v>
      </c>
      <c r="AI54" s="7"/>
      <c r="AJ54" s="7" t="s">
        <v>304</v>
      </c>
      <c r="AK54" s="7"/>
      <c r="AL54" s="7"/>
      <c r="AM54" s="7"/>
      <c r="AN54" s="7" t="s">
        <v>305</v>
      </c>
      <c r="AO54" s="7" t="b">
        <v>1</v>
      </c>
      <c r="AP54" s="7">
        <v>0</v>
      </c>
      <c r="AQ54" s="7">
        <v>0</v>
      </c>
      <c r="AR54" s="10" t="s">
        <v>62</v>
      </c>
    </row>
    <row r="55">
      <c r="A55" s="7">
        <v>53</v>
      </c>
      <c r="B55" s="7" t="s">
        <v>306</v>
      </c>
      <c r="C55" s="8" t="s">
        <v>46</v>
      </c>
      <c r="D55" s="7" t="s">
        <v>47</v>
      </c>
      <c r="E55" s="9">
        <v>1.11</v>
      </c>
      <c r="F55" s="7" t="s">
        <v>211</v>
      </c>
      <c r="G55" s="7" t="s">
        <v>91</v>
      </c>
      <c r="H55" s="7" t="s">
        <v>50</v>
      </c>
      <c r="I55" s="7" t="s">
        <v>50</v>
      </c>
      <c r="J55" s="9" t="s">
        <v>50</v>
      </c>
      <c r="K55" s="9" t="s">
        <v>51</v>
      </c>
      <c r="L55" s="9">
        <v>42.9</v>
      </c>
      <c r="M55" s="9">
        <v>9700</v>
      </c>
      <c r="N55" s="7">
        <v>5538.7</v>
      </c>
      <c r="O55" s="9">
        <f>M55*(100-L55)/100*E55</f>
      </c>
      <c r="P55" s="7" t="s">
        <v>52</v>
      </c>
      <c r="Q55" s="7">
        <v>6.68</v>
      </c>
      <c r="R55" s="9">
        <v>6.65</v>
      </c>
      <c r="S55" s="7">
        <v>4.05</v>
      </c>
      <c r="T55" s="7" t="s">
        <v>307</v>
      </c>
      <c r="U55" s="7">
        <v>1.005</v>
      </c>
      <c r="V55" s="7">
        <v>60.8</v>
      </c>
      <c r="W55" s="7">
        <v>57</v>
      </c>
      <c r="X55" s="7" t="s">
        <v>54</v>
      </c>
      <c r="Y55" s="7" t="s">
        <v>55</v>
      </c>
      <c r="Z55" s="7" t="s">
        <v>56</v>
      </c>
      <c r="AA55" s="7" t="s">
        <v>56</v>
      </c>
      <c r="AB55" s="7" t="s">
        <v>179</v>
      </c>
      <c r="AC55" s="7" t="s">
        <v>56</v>
      </c>
      <c r="AD55" s="7" t="s">
        <v>56</v>
      </c>
      <c r="AE55" s="7" t="s">
        <v>56</v>
      </c>
      <c r="AF55" s="7" t="s">
        <v>56</v>
      </c>
      <c r="AG55" s="7" t="s">
        <v>56</v>
      </c>
      <c r="AH55" s="7">
        <v>10767</v>
      </c>
      <c r="AI55" s="10" t="s">
        <v>59</v>
      </c>
      <c r="AJ55" s="7" t="s">
        <v>308</v>
      </c>
      <c r="AK55" s="7"/>
      <c r="AL55" s="7"/>
      <c r="AM55" s="7"/>
      <c r="AN55" s="7" t="s">
        <v>309</v>
      </c>
      <c r="AO55" s="7" t="b">
        <v>1</v>
      </c>
      <c r="AP55" s="7">
        <v>1</v>
      </c>
      <c r="AQ55" s="7">
        <v>1</v>
      </c>
      <c r="AR55" s="10" t="s">
        <v>62</v>
      </c>
    </row>
    <row r="56">
      <c r="A56" s="7">
        <v>54</v>
      </c>
      <c r="B56" s="7" t="s">
        <v>310</v>
      </c>
      <c r="C56" s="8" t="s">
        <v>46</v>
      </c>
      <c r="D56" s="7" t="s">
        <v>47</v>
      </c>
      <c r="E56" s="9">
        <v>1.1</v>
      </c>
      <c r="F56" s="7" t="s">
        <v>86</v>
      </c>
      <c r="G56" s="7" t="s">
        <v>120</v>
      </c>
      <c r="H56" s="7" t="s">
        <v>50</v>
      </c>
      <c r="I56" s="7" t="s">
        <v>50</v>
      </c>
      <c r="J56" s="9" t="s">
        <v>50</v>
      </c>
      <c r="K56" s="9" t="s">
        <v>51</v>
      </c>
      <c r="L56" s="9">
        <v>44.95</v>
      </c>
      <c r="M56" s="9">
        <v>8300</v>
      </c>
      <c r="N56" s="7">
        <v>4569.15</v>
      </c>
      <c r="O56" s="9">
        <f>M56*(100-L56)/100*E56</f>
      </c>
      <c r="P56" s="7" t="s">
        <v>52</v>
      </c>
      <c r="Q56" s="7">
        <v>6.63</v>
      </c>
      <c r="R56" s="9">
        <v>6.6</v>
      </c>
      <c r="S56" s="7">
        <v>4.08</v>
      </c>
      <c r="T56" s="7" t="s">
        <v>311</v>
      </c>
      <c r="U56" s="7">
        <v>1.005</v>
      </c>
      <c r="V56" s="7">
        <v>61.7</v>
      </c>
      <c r="W56" s="7">
        <v>59</v>
      </c>
      <c r="X56" s="7" t="s">
        <v>54</v>
      </c>
      <c r="Y56" s="7" t="s">
        <v>55</v>
      </c>
      <c r="Z56" s="7" t="s">
        <v>56</v>
      </c>
      <c r="AA56" s="7" t="s">
        <v>57</v>
      </c>
      <c r="AB56" s="7" t="s">
        <v>312</v>
      </c>
      <c r="AC56" s="10" t="s">
        <v>105</v>
      </c>
      <c r="AD56" s="7" t="s">
        <v>56</v>
      </c>
      <c r="AE56" s="7" t="s">
        <v>56</v>
      </c>
      <c r="AF56" s="7" t="s">
        <v>56</v>
      </c>
      <c r="AG56" s="7" t="s">
        <v>56</v>
      </c>
      <c r="AH56" s="7">
        <v>9130</v>
      </c>
      <c r="AI56" s="10" t="s">
        <v>59</v>
      </c>
      <c r="AJ56" s="7" t="s">
        <v>313</v>
      </c>
      <c r="AK56" s="7"/>
      <c r="AL56" s="7"/>
      <c r="AM56" s="7"/>
      <c r="AN56" s="7" t="s">
        <v>314</v>
      </c>
      <c r="AO56" s="7" t="b">
        <v>1</v>
      </c>
      <c r="AP56" s="7">
        <v>1</v>
      </c>
      <c r="AQ56" s="7">
        <v>1</v>
      </c>
      <c r="AR56" s="10" t="s">
        <v>62</v>
      </c>
    </row>
    <row r="57">
      <c r="A57" s="7">
        <v>55</v>
      </c>
      <c r="B57" s="7" t="s">
        <v>315</v>
      </c>
      <c r="C57" s="8" t="s">
        <v>46</v>
      </c>
      <c r="D57" s="7" t="s">
        <v>47</v>
      </c>
      <c r="E57" s="9">
        <v>1.1</v>
      </c>
      <c r="F57" s="7" t="s">
        <v>86</v>
      </c>
      <c r="G57" s="7" t="s">
        <v>70</v>
      </c>
      <c r="H57" s="7" t="s">
        <v>50</v>
      </c>
      <c r="I57" s="7" t="s">
        <v>50</v>
      </c>
      <c r="J57" s="9" t="s">
        <v>50</v>
      </c>
      <c r="K57" s="9" t="s">
        <v>51</v>
      </c>
      <c r="L57" s="9">
        <v>43.67</v>
      </c>
      <c r="M57" s="9">
        <v>9700</v>
      </c>
      <c r="N57" s="7">
        <v>5464.01</v>
      </c>
      <c r="O57" s="9">
        <f>M57*(100-L57)/100*E57</f>
      </c>
      <c r="P57" s="7" t="s">
        <v>52</v>
      </c>
      <c r="Q57" s="7">
        <v>6.61</v>
      </c>
      <c r="R57" s="9">
        <v>6.58</v>
      </c>
      <c r="S57" s="7">
        <v>4.11</v>
      </c>
      <c r="T57" s="7" t="s">
        <v>316</v>
      </c>
      <c r="U57" s="7">
        <v>1.005</v>
      </c>
      <c r="V57" s="7">
        <v>62.3</v>
      </c>
      <c r="W57" s="7">
        <v>56</v>
      </c>
      <c r="X57" s="7" t="s">
        <v>54</v>
      </c>
      <c r="Y57" s="7" t="s">
        <v>55</v>
      </c>
      <c r="Z57" s="7" t="s">
        <v>56</v>
      </c>
      <c r="AA57" s="7" t="s">
        <v>56</v>
      </c>
      <c r="AB57" s="7" t="s">
        <v>110</v>
      </c>
      <c r="AC57" s="10" t="s">
        <v>105</v>
      </c>
      <c r="AD57" s="7" t="s">
        <v>56</v>
      </c>
      <c r="AE57" s="7" t="s">
        <v>56</v>
      </c>
      <c r="AF57" s="7" t="s">
        <v>56</v>
      </c>
      <c r="AG57" s="7" t="s">
        <v>56</v>
      </c>
      <c r="AH57" s="7">
        <v>10670</v>
      </c>
      <c r="AI57" s="10" t="s">
        <v>59</v>
      </c>
      <c r="AJ57" s="7" t="s">
        <v>317</v>
      </c>
      <c r="AK57" s="7"/>
      <c r="AL57" s="7"/>
      <c r="AM57" s="7"/>
      <c r="AN57" s="7" t="s">
        <v>318</v>
      </c>
      <c r="AO57" s="7" t="b">
        <v>1</v>
      </c>
      <c r="AP57" s="7">
        <v>1</v>
      </c>
      <c r="AQ57" s="7">
        <v>1</v>
      </c>
      <c r="AR57" s="10" t="s">
        <v>62</v>
      </c>
    </row>
    <row r="58">
      <c r="A58" s="7">
        <v>56</v>
      </c>
      <c r="B58" s="7" t="s">
        <v>319</v>
      </c>
      <c r="C58" s="8" t="s">
        <v>46</v>
      </c>
      <c r="D58" s="7" t="s">
        <v>47</v>
      </c>
      <c r="E58" s="9">
        <v>1.1</v>
      </c>
      <c r="F58" s="7" t="s">
        <v>188</v>
      </c>
      <c r="G58" s="7" t="s">
        <v>91</v>
      </c>
      <c r="H58" s="7" t="s">
        <v>50</v>
      </c>
      <c r="I58" s="7" t="s">
        <v>50</v>
      </c>
      <c r="J58" s="9" t="s">
        <v>50</v>
      </c>
      <c r="K58" s="9" t="s">
        <v>51</v>
      </c>
      <c r="L58" s="9">
        <v>41.87</v>
      </c>
      <c r="M58" s="9">
        <v>9700</v>
      </c>
      <c r="N58" s="7">
        <v>5638.61</v>
      </c>
      <c r="O58" s="9">
        <f>M58*(100-L58)/100*E58</f>
      </c>
      <c r="P58" s="7" t="s">
        <v>52</v>
      </c>
      <c r="Q58" s="7">
        <v>6.62</v>
      </c>
      <c r="R58" s="9">
        <v>6.58</v>
      </c>
      <c r="S58" s="7">
        <v>4.11</v>
      </c>
      <c r="T58" s="7" t="s">
        <v>320</v>
      </c>
      <c r="U58" s="7">
        <v>1.006</v>
      </c>
      <c r="V58" s="7">
        <v>62.2</v>
      </c>
      <c r="W58" s="7">
        <v>59</v>
      </c>
      <c r="X58" s="7" t="s">
        <v>54</v>
      </c>
      <c r="Y58" s="7" t="s">
        <v>55</v>
      </c>
      <c r="Z58" s="7" t="s">
        <v>56</v>
      </c>
      <c r="AA58" s="7" t="s">
        <v>56</v>
      </c>
      <c r="AB58" s="7" t="s">
        <v>93</v>
      </c>
      <c r="AC58" s="7" t="s">
        <v>56</v>
      </c>
      <c r="AD58" s="7" t="s">
        <v>56</v>
      </c>
      <c r="AE58" s="7" t="s">
        <v>56</v>
      </c>
      <c r="AF58" s="7" t="s">
        <v>56</v>
      </c>
      <c r="AG58" s="7" t="s">
        <v>56</v>
      </c>
      <c r="AH58" s="7">
        <v>10670</v>
      </c>
      <c r="AI58" s="10" t="s">
        <v>59</v>
      </c>
      <c r="AJ58" s="7" t="s">
        <v>321</v>
      </c>
      <c r="AK58" s="7"/>
      <c r="AL58" s="7"/>
      <c r="AM58" s="7"/>
      <c r="AN58" s="7" t="s">
        <v>322</v>
      </c>
      <c r="AO58" s="7" t="b">
        <v>1</v>
      </c>
      <c r="AP58" s="7">
        <v>1</v>
      </c>
      <c r="AQ58" s="7">
        <v>1</v>
      </c>
      <c r="AR58" s="10" t="s">
        <v>62</v>
      </c>
    </row>
    <row r="59">
      <c r="A59" s="7">
        <v>57</v>
      </c>
      <c r="B59" s="7" t="s">
        <v>323</v>
      </c>
      <c r="C59" s="8" t="s">
        <v>46</v>
      </c>
      <c r="D59" s="7" t="s">
        <v>47</v>
      </c>
      <c r="E59" s="9">
        <v>1.1</v>
      </c>
      <c r="F59" s="7" t="s">
        <v>324</v>
      </c>
      <c r="G59" s="7" t="s">
        <v>49</v>
      </c>
      <c r="H59" s="7" t="s">
        <v>50</v>
      </c>
      <c r="I59" s="7" t="s">
        <v>50</v>
      </c>
      <c r="J59" s="9" t="s">
        <v>50</v>
      </c>
      <c r="K59" s="9" t="s">
        <v>51</v>
      </c>
      <c r="L59" s="9">
        <v>42.64</v>
      </c>
      <c r="M59" s="9">
        <v>5600</v>
      </c>
      <c r="N59" s="7">
        <v>3212.16</v>
      </c>
      <c r="O59" s="9">
        <f>M59*(100-L59)/100*E59</f>
      </c>
      <c r="P59" s="7" t="s">
        <v>52</v>
      </c>
      <c r="Q59" s="7">
        <v>6.62</v>
      </c>
      <c r="R59" s="9">
        <v>6.59</v>
      </c>
      <c r="S59" s="7">
        <v>4.09</v>
      </c>
      <c r="T59" s="7" t="s">
        <v>325</v>
      </c>
      <c r="U59" s="7">
        <v>1.005</v>
      </c>
      <c r="V59" s="7">
        <v>61.9</v>
      </c>
      <c r="W59" s="7">
        <v>58</v>
      </c>
      <c r="X59" s="7" t="s">
        <v>54</v>
      </c>
      <c r="Y59" s="7" t="s">
        <v>55</v>
      </c>
      <c r="Z59" s="7" t="s">
        <v>57</v>
      </c>
      <c r="AA59" s="7" t="s">
        <v>56</v>
      </c>
      <c r="AB59" s="7" t="s">
        <v>203</v>
      </c>
      <c r="AC59" s="10" t="s">
        <v>105</v>
      </c>
      <c r="AD59" s="7" t="s">
        <v>56</v>
      </c>
      <c r="AE59" s="7" t="s">
        <v>56</v>
      </c>
      <c r="AF59" s="7" t="s">
        <v>56</v>
      </c>
      <c r="AG59" s="7" t="s">
        <v>56</v>
      </c>
      <c r="AH59" s="7">
        <v>6160</v>
      </c>
      <c r="AI59" s="10" t="s">
        <v>59</v>
      </c>
      <c r="AJ59" s="7" t="s">
        <v>326</v>
      </c>
      <c r="AK59" s="7"/>
      <c r="AL59" s="7"/>
      <c r="AM59" s="7"/>
      <c r="AN59" s="7" t="s">
        <v>327</v>
      </c>
      <c r="AO59" s="7" t="b">
        <v>1</v>
      </c>
      <c r="AP59" s="7">
        <v>1</v>
      </c>
      <c r="AQ59" s="7">
        <v>1</v>
      </c>
      <c r="AR59" s="10" t="s">
        <v>62</v>
      </c>
    </row>
    <row r="60">
      <c r="A60" s="7">
        <v>58</v>
      </c>
      <c r="B60" s="7" t="s">
        <v>328</v>
      </c>
      <c r="C60" s="8" t="s">
        <v>46</v>
      </c>
      <c r="D60" s="7" t="s">
        <v>47</v>
      </c>
      <c r="E60" s="9">
        <v>1.09</v>
      </c>
      <c r="F60" s="7" t="s">
        <v>48</v>
      </c>
      <c r="G60" s="7" t="s">
        <v>64</v>
      </c>
      <c r="H60" s="7" t="s">
        <v>50</v>
      </c>
      <c r="I60" s="7" t="s">
        <v>50</v>
      </c>
      <c r="J60" s="9" t="s">
        <v>50</v>
      </c>
      <c r="K60" s="9" t="s">
        <v>51</v>
      </c>
      <c r="L60" s="9">
        <v>40.07</v>
      </c>
      <c r="M60" s="9">
        <v>6900</v>
      </c>
      <c r="N60" s="7">
        <v>4135.17</v>
      </c>
      <c r="O60" s="9">
        <f>M60*(100-L60)/100*E60</f>
      </c>
      <c r="P60" s="7" t="s">
        <v>52</v>
      </c>
      <c r="Q60" s="7">
        <v>6.58</v>
      </c>
      <c r="R60" s="9">
        <v>6.55</v>
      </c>
      <c r="S60" s="7">
        <v>4.08</v>
      </c>
      <c r="T60" s="7" t="s">
        <v>329</v>
      </c>
      <c r="U60" s="7">
        <v>1.005</v>
      </c>
      <c r="V60" s="7">
        <v>62.1</v>
      </c>
      <c r="W60" s="7">
        <v>57</v>
      </c>
      <c r="X60" s="7" t="s">
        <v>54</v>
      </c>
      <c r="Y60" s="7" t="s">
        <v>55</v>
      </c>
      <c r="Z60" s="7" t="s">
        <v>56</v>
      </c>
      <c r="AA60" s="7" t="s">
        <v>56</v>
      </c>
      <c r="AB60" s="7" t="s">
        <v>330</v>
      </c>
      <c r="AC60" s="10" t="s">
        <v>73</v>
      </c>
      <c r="AD60" s="7" t="s">
        <v>56</v>
      </c>
      <c r="AE60" s="7" t="s">
        <v>56</v>
      </c>
      <c r="AF60" s="7" t="s">
        <v>56</v>
      </c>
      <c r="AG60" s="7" t="s">
        <v>56</v>
      </c>
      <c r="AH60" s="7">
        <v>7521</v>
      </c>
      <c r="AI60" s="10" t="s">
        <v>59</v>
      </c>
      <c r="AJ60" s="7" t="s">
        <v>331</v>
      </c>
      <c r="AK60" s="7"/>
      <c r="AL60" s="7"/>
      <c r="AM60" s="7"/>
      <c r="AN60" s="7" t="s">
        <v>332</v>
      </c>
      <c r="AO60" s="7" t="b">
        <v>1</v>
      </c>
      <c r="AP60" s="7">
        <v>1</v>
      </c>
      <c r="AQ60" s="7">
        <v>1</v>
      </c>
      <c r="AR60" s="10" t="s">
        <v>62</v>
      </c>
    </row>
    <row r="61">
      <c r="A61" s="7">
        <v>59</v>
      </c>
      <c r="B61" s="7" t="s">
        <v>333</v>
      </c>
      <c r="C61" s="8" t="s">
        <v>46</v>
      </c>
      <c r="D61" s="7" t="s">
        <v>47</v>
      </c>
      <c r="E61" s="9">
        <v>1.09</v>
      </c>
      <c r="F61" s="7" t="s">
        <v>86</v>
      </c>
      <c r="G61" s="7" t="s">
        <v>91</v>
      </c>
      <c r="H61" s="7" t="s">
        <v>50</v>
      </c>
      <c r="I61" s="7" t="s">
        <v>50</v>
      </c>
      <c r="J61" s="9" t="s">
        <v>50</v>
      </c>
      <c r="K61" s="9" t="s">
        <v>51</v>
      </c>
      <c r="L61" s="9">
        <v>44.18</v>
      </c>
      <c r="M61" s="9">
        <v>12800</v>
      </c>
      <c r="N61" s="7">
        <v>7144.96</v>
      </c>
      <c r="O61" s="9">
        <f>M61*(100-L61)/100*E61</f>
      </c>
      <c r="P61" s="7" t="s">
        <v>52</v>
      </c>
      <c r="Q61" s="7">
        <v>6.53</v>
      </c>
      <c r="R61" s="9">
        <v>6.49</v>
      </c>
      <c r="S61" s="7">
        <v>4.08</v>
      </c>
      <c r="T61" s="7" t="s">
        <v>334</v>
      </c>
      <c r="U61" s="7">
        <v>1.006</v>
      </c>
      <c r="V61" s="7">
        <v>62.6</v>
      </c>
      <c r="W61" s="7">
        <v>58</v>
      </c>
      <c r="X61" s="7" t="s">
        <v>54</v>
      </c>
      <c r="Y61" s="7" t="s">
        <v>55</v>
      </c>
      <c r="Z61" s="7" t="s">
        <v>56</v>
      </c>
      <c r="AA61" s="7" t="s">
        <v>56</v>
      </c>
      <c r="AB61" s="7" t="s">
        <v>93</v>
      </c>
      <c r="AC61" s="10" t="s">
        <v>105</v>
      </c>
      <c r="AD61" s="7" t="s">
        <v>56</v>
      </c>
      <c r="AE61" s="7" t="s">
        <v>56</v>
      </c>
      <c r="AF61" s="7" t="s">
        <v>56</v>
      </c>
      <c r="AG61" s="7" t="s">
        <v>56</v>
      </c>
      <c r="AH61" s="7">
        <v>13952</v>
      </c>
      <c r="AI61" s="10" t="s">
        <v>59</v>
      </c>
      <c r="AJ61" s="7" t="s">
        <v>335</v>
      </c>
      <c r="AK61" s="7"/>
      <c r="AL61" s="7"/>
      <c r="AM61" s="7"/>
      <c r="AN61" s="7" t="s">
        <v>336</v>
      </c>
      <c r="AO61" s="7" t="b">
        <v>1</v>
      </c>
      <c r="AP61" s="7">
        <v>1</v>
      </c>
      <c r="AQ61" s="7">
        <v>1</v>
      </c>
      <c r="AR61" s="10" t="s">
        <v>62</v>
      </c>
    </row>
    <row r="62">
      <c r="A62" s="7">
        <v>60</v>
      </c>
      <c r="B62" s="7" t="s">
        <v>337</v>
      </c>
      <c r="C62" s="8" t="s">
        <v>46</v>
      </c>
      <c r="D62" s="7" t="s">
        <v>47</v>
      </c>
      <c r="E62" s="9">
        <v>1.09</v>
      </c>
      <c r="F62" s="7" t="s">
        <v>86</v>
      </c>
      <c r="G62" s="7" t="s">
        <v>97</v>
      </c>
      <c r="H62" s="7" t="s">
        <v>50</v>
      </c>
      <c r="I62" s="7" t="s">
        <v>50</v>
      </c>
      <c r="J62" s="9" t="s">
        <v>50</v>
      </c>
      <c r="K62" s="9" t="s">
        <v>51</v>
      </c>
      <c r="L62" s="9">
        <v>45.98</v>
      </c>
      <c r="M62" s="9">
        <v>9700</v>
      </c>
      <c r="N62" s="7">
        <v>5239.94</v>
      </c>
      <c r="O62" s="9">
        <f>M62*(100-L62)/100*E62</f>
      </c>
      <c r="P62" s="7" t="s">
        <v>52</v>
      </c>
      <c r="Q62" s="7">
        <v>6.55</v>
      </c>
      <c r="R62" s="9">
        <v>6.53</v>
      </c>
      <c r="S62" s="7">
        <v>4.09</v>
      </c>
      <c r="T62" s="7" t="s">
        <v>338</v>
      </c>
      <c r="U62" s="7">
        <v>1.003</v>
      </c>
      <c r="V62" s="7">
        <v>62.5</v>
      </c>
      <c r="W62" s="7">
        <v>58</v>
      </c>
      <c r="X62" s="7" t="s">
        <v>54</v>
      </c>
      <c r="Y62" s="7" t="s">
        <v>55</v>
      </c>
      <c r="Z62" s="7" t="s">
        <v>56</v>
      </c>
      <c r="AA62" s="7" t="s">
        <v>56</v>
      </c>
      <c r="AB62" s="7" t="s">
        <v>78</v>
      </c>
      <c r="AC62" s="10" t="s">
        <v>56</v>
      </c>
      <c r="AD62" s="7" t="s">
        <v>56</v>
      </c>
      <c r="AE62" s="7" t="s">
        <v>56</v>
      </c>
      <c r="AF62" s="7" t="s">
        <v>56</v>
      </c>
      <c r="AG62" s="7" t="s">
        <v>56</v>
      </c>
      <c r="AH62" s="7">
        <v>10573</v>
      </c>
      <c r="AI62" s="10" t="s">
        <v>59</v>
      </c>
      <c r="AJ62" s="7" t="s">
        <v>339</v>
      </c>
      <c r="AK62" s="7"/>
      <c r="AL62" s="7"/>
      <c r="AM62" s="7"/>
      <c r="AN62" s="7" t="s">
        <v>340</v>
      </c>
      <c r="AO62" s="7" t="b">
        <v>1</v>
      </c>
      <c r="AP62" s="7">
        <v>1</v>
      </c>
      <c r="AQ62" s="7">
        <v>1</v>
      </c>
      <c r="AR62" s="10" t="s">
        <v>62</v>
      </c>
    </row>
    <row r="63">
      <c r="A63" s="7">
        <v>61</v>
      </c>
      <c r="B63" s="7" t="s">
        <v>341</v>
      </c>
      <c r="C63" s="8" t="s">
        <v>46</v>
      </c>
      <c r="D63" s="7" t="s">
        <v>47</v>
      </c>
      <c r="E63" s="9">
        <v>1.09</v>
      </c>
      <c r="F63" s="7" t="s">
        <v>86</v>
      </c>
      <c r="G63" s="7" t="s">
        <v>263</v>
      </c>
      <c r="H63" s="7" t="s">
        <v>50</v>
      </c>
      <c r="I63" s="7" t="s">
        <v>50</v>
      </c>
      <c r="J63" s="9" t="s">
        <v>50</v>
      </c>
      <c r="K63" s="9" t="s">
        <v>51</v>
      </c>
      <c r="L63" s="9">
        <v>44.18</v>
      </c>
      <c r="M63" s="9">
        <v>9700</v>
      </c>
      <c r="N63" s="7">
        <v>5414.54</v>
      </c>
      <c r="O63" s="9">
        <f>M63*(100-L63)/100*E63</f>
      </c>
      <c r="P63" s="7" t="s">
        <v>52</v>
      </c>
      <c r="Q63" s="7">
        <v>6.63</v>
      </c>
      <c r="R63" s="9">
        <v>6.59</v>
      </c>
      <c r="S63" s="7">
        <v>4.08</v>
      </c>
      <c r="T63" s="7" t="s">
        <v>342</v>
      </c>
      <c r="U63" s="7">
        <v>1.006</v>
      </c>
      <c r="V63" s="7">
        <v>61.7</v>
      </c>
      <c r="W63" s="7">
        <v>60</v>
      </c>
      <c r="X63" s="7" t="s">
        <v>54</v>
      </c>
      <c r="Y63" s="7" t="s">
        <v>55</v>
      </c>
      <c r="Z63" s="7" t="s">
        <v>56</v>
      </c>
      <c r="AA63" s="7" t="s">
        <v>56</v>
      </c>
      <c r="AB63" s="7" t="s">
        <v>78</v>
      </c>
      <c r="AC63" s="10" t="s">
        <v>56</v>
      </c>
      <c r="AD63" s="7" t="s">
        <v>56</v>
      </c>
      <c r="AE63" s="7" t="s">
        <v>56</v>
      </c>
      <c r="AF63" s="7" t="s">
        <v>56</v>
      </c>
      <c r="AG63" s="7" t="s">
        <v>56</v>
      </c>
      <c r="AH63" s="7">
        <v>10573</v>
      </c>
      <c r="AI63" s="10" t="s">
        <v>59</v>
      </c>
      <c r="AJ63" s="7" t="s">
        <v>343</v>
      </c>
      <c r="AK63" s="7"/>
      <c r="AL63" s="7"/>
      <c r="AM63" s="7"/>
      <c r="AN63" s="7" t="s">
        <v>344</v>
      </c>
      <c r="AO63" s="7" t="b">
        <v>1</v>
      </c>
      <c r="AP63" s="7">
        <v>1</v>
      </c>
      <c r="AQ63" s="7">
        <v>1</v>
      </c>
      <c r="AR63" s="10" t="s">
        <v>62</v>
      </c>
    </row>
    <row r="64">
      <c r="A64" s="7">
        <v>62</v>
      </c>
      <c r="B64" s="7" t="s">
        <v>345</v>
      </c>
      <c r="C64" s="8" t="s">
        <v>46</v>
      </c>
      <c r="D64" s="7" t="s">
        <v>47</v>
      </c>
      <c r="E64" s="9">
        <v>1.09</v>
      </c>
      <c r="F64" s="7" t="s">
        <v>183</v>
      </c>
      <c r="G64" s="7" t="s">
        <v>120</v>
      </c>
      <c r="H64" s="7" t="s">
        <v>50</v>
      </c>
      <c r="I64" s="7" t="s">
        <v>50</v>
      </c>
      <c r="J64" s="9" t="s">
        <v>50</v>
      </c>
      <c r="K64" s="9" t="s">
        <v>51</v>
      </c>
      <c r="L64" s="9">
        <v>41.87</v>
      </c>
      <c r="M64" s="9">
        <v>7500</v>
      </c>
      <c r="N64" s="7">
        <v>4359.75</v>
      </c>
      <c r="O64" s="9">
        <f>M64*(100-L64)/100*E64</f>
      </c>
      <c r="P64" s="7" t="s">
        <v>52</v>
      </c>
      <c r="Q64" s="7">
        <v>6.56</v>
      </c>
      <c r="R64" s="9">
        <v>6.52</v>
      </c>
      <c r="S64" s="7">
        <v>4.08</v>
      </c>
      <c r="T64" s="7" t="s">
        <v>346</v>
      </c>
      <c r="U64" s="7">
        <v>1.006</v>
      </c>
      <c r="V64" s="7">
        <v>62.4</v>
      </c>
      <c r="W64" s="7">
        <v>57</v>
      </c>
      <c r="X64" s="7" t="s">
        <v>54</v>
      </c>
      <c r="Y64" s="7" t="s">
        <v>55</v>
      </c>
      <c r="Z64" s="7" t="s">
        <v>57</v>
      </c>
      <c r="AA64" s="7" t="s">
        <v>56</v>
      </c>
      <c r="AB64" s="7" t="s">
        <v>203</v>
      </c>
      <c r="AC64" s="10" t="s">
        <v>73</v>
      </c>
      <c r="AD64" s="7" t="s">
        <v>56</v>
      </c>
      <c r="AE64" s="7" t="s">
        <v>56</v>
      </c>
      <c r="AF64" s="7" t="s">
        <v>56</v>
      </c>
      <c r="AG64" s="7" t="s">
        <v>56</v>
      </c>
      <c r="AH64" s="7">
        <v>8175</v>
      </c>
      <c r="AI64" s="10" t="s">
        <v>59</v>
      </c>
      <c r="AJ64" s="7" t="s">
        <v>347</v>
      </c>
      <c r="AK64" s="7"/>
      <c r="AL64" s="7"/>
      <c r="AM64" s="7"/>
      <c r="AN64" s="7" t="s">
        <v>348</v>
      </c>
      <c r="AO64" s="7" t="b">
        <v>1</v>
      </c>
      <c r="AP64" s="7">
        <v>1</v>
      </c>
      <c r="AQ64" s="7">
        <v>1</v>
      </c>
      <c r="AR64" s="10" t="s">
        <v>62</v>
      </c>
    </row>
    <row r="65">
      <c r="A65" s="7">
        <v>63</v>
      </c>
      <c r="B65" s="7" t="s">
        <v>349</v>
      </c>
      <c r="C65" s="8" t="s">
        <v>46</v>
      </c>
      <c r="D65" s="7" t="s">
        <v>47</v>
      </c>
      <c r="E65" s="9">
        <v>1.08</v>
      </c>
      <c r="F65" s="7" t="s">
        <v>86</v>
      </c>
      <c r="G65" s="7" t="s">
        <v>120</v>
      </c>
      <c r="H65" s="7" t="s">
        <v>50</v>
      </c>
      <c r="I65" s="7" t="s">
        <v>50</v>
      </c>
      <c r="J65" s="9" t="s">
        <v>50</v>
      </c>
      <c r="K65" s="9" t="s">
        <v>51</v>
      </c>
      <c r="L65" s="9">
        <v>42.64</v>
      </c>
      <c r="M65" s="9">
        <v>8300</v>
      </c>
      <c r="N65" s="7">
        <v>4760.88</v>
      </c>
      <c r="O65" s="9">
        <f>M65*(100-L65)/100*E65</f>
      </c>
      <c r="P65" s="7" t="s">
        <v>52</v>
      </c>
      <c r="Q65" s="7">
        <v>6.55</v>
      </c>
      <c r="R65" s="9">
        <v>6.5</v>
      </c>
      <c r="S65" s="7">
        <v>4.07</v>
      </c>
      <c r="T65" s="7" t="s">
        <v>350</v>
      </c>
      <c r="U65" s="7">
        <v>1.008</v>
      </c>
      <c r="V65" s="7">
        <v>62.3</v>
      </c>
      <c r="W65" s="7">
        <v>59</v>
      </c>
      <c r="X65" s="7" t="s">
        <v>302</v>
      </c>
      <c r="Y65" s="7" t="s">
        <v>302</v>
      </c>
      <c r="Z65" s="7" t="s">
        <v>302</v>
      </c>
      <c r="AA65" s="7" t="s">
        <v>302</v>
      </c>
      <c r="AB65" s="7" t="s">
        <v>351</v>
      </c>
      <c r="AC65" s="7" t="s">
        <v>302</v>
      </c>
      <c r="AD65" s="7" t="s">
        <v>302</v>
      </c>
      <c r="AE65" s="7" t="s">
        <v>302</v>
      </c>
      <c r="AF65" s="7" t="s">
        <v>302</v>
      </c>
      <c r="AG65" s="7" t="s">
        <v>302</v>
      </c>
      <c r="AH65" s="7">
        <v>8964</v>
      </c>
      <c r="AI65" s="7"/>
      <c r="AJ65" s="7" t="s">
        <v>352</v>
      </c>
      <c r="AK65" s="7"/>
      <c r="AL65" s="7"/>
      <c r="AM65" s="7"/>
      <c r="AN65" s="7" t="s">
        <v>353</v>
      </c>
      <c r="AO65" s="7" t="b">
        <v>1</v>
      </c>
      <c r="AP65" s="7">
        <v>0</v>
      </c>
      <c r="AQ65" s="7">
        <v>0</v>
      </c>
      <c r="AR65" s="10" t="s">
        <v>62</v>
      </c>
    </row>
    <row r="66">
      <c r="A66" s="7">
        <v>64</v>
      </c>
      <c r="B66" s="7" t="s">
        <v>354</v>
      </c>
      <c r="C66" s="8" t="s">
        <v>46</v>
      </c>
      <c r="D66" s="7" t="s">
        <v>47</v>
      </c>
      <c r="E66" s="9">
        <v>1.08</v>
      </c>
      <c r="F66" s="7" t="s">
        <v>86</v>
      </c>
      <c r="G66" s="7" t="s">
        <v>91</v>
      </c>
      <c r="H66" s="7" t="s">
        <v>50</v>
      </c>
      <c r="I66" s="7" t="s">
        <v>50</v>
      </c>
      <c r="J66" s="9" t="s">
        <v>50</v>
      </c>
      <c r="K66" s="9" t="s">
        <v>51</v>
      </c>
      <c r="L66" s="9">
        <v>46.5</v>
      </c>
      <c r="M66" s="9">
        <v>12800</v>
      </c>
      <c r="N66" s="7">
        <v>6848</v>
      </c>
      <c r="O66" s="9">
        <f>M66*(100-L66)/100*E66</f>
      </c>
      <c r="P66" s="7" t="s">
        <v>52</v>
      </c>
      <c r="Q66" s="7">
        <v>6.57</v>
      </c>
      <c r="R66" s="9">
        <v>6.54</v>
      </c>
      <c r="S66" s="7">
        <v>4.09</v>
      </c>
      <c r="T66" s="7" t="s">
        <v>355</v>
      </c>
      <c r="U66" s="7">
        <v>1.005</v>
      </c>
      <c r="V66" s="7">
        <v>62.4</v>
      </c>
      <c r="W66" s="7">
        <v>60</v>
      </c>
      <c r="X66" s="7" t="s">
        <v>54</v>
      </c>
      <c r="Y66" s="7" t="s">
        <v>55</v>
      </c>
      <c r="Z66" s="7" t="s">
        <v>56</v>
      </c>
      <c r="AA66" s="7" t="s">
        <v>56</v>
      </c>
      <c r="AB66" s="7" t="s">
        <v>78</v>
      </c>
      <c r="AC66" s="7" t="s">
        <v>56</v>
      </c>
      <c r="AD66" s="7" t="s">
        <v>56</v>
      </c>
      <c r="AE66" s="7" t="s">
        <v>56</v>
      </c>
      <c r="AF66" s="7" t="s">
        <v>56</v>
      </c>
      <c r="AG66" s="7" t="s">
        <v>56</v>
      </c>
      <c r="AH66" s="7">
        <v>13824</v>
      </c>
      <c r="AI66" s="10" t="s">
        <v>59</v>
      </c>
      <c r="AJ66" s="7" t="s">
        <v>356</v>
      </c>
      <c r="AK66" s="7"/>
      <c r="AL66" s="7"/>
      <c r="AM66" s="7"/>
      <c r="AN66" s="7" t="s">
        <v>357</v>
      </c>
      <c r="AO66" s="7" t="b">
        <v>1</v>
      </c>
      <c r="AP66" s="7">
        <v>1</v>
      </c>
      <c r="AQ66" s="7">
        <v>1</v>
      </c>
      <c r="AR66" s="10" t="s">
        <v>62</v>
      </c>
    </row>
    <row r="67">
      <c r="A67" s="7">
        <v>65</v>
      </c>
      <c r="B67" s="7" t="s">
        <v>358</v>
      </c>
      <c r="C67" s="8" t="s">
        <v>46</v>
      </c>
      <c r="D67" s="7" t="s">
        <v>47</v>
      </c>
      <c r="E67" s="9">
        <v>1.08</v>
      </c>
      <c r="F67" s="7" t="s">
        <v>86</v>
      </c>
      <c r="G67" s="7" t="s">
        <v>91</v>
      </c>
      <c r="H67" s="7" t="s">
        <v>50</v>
      </c>
      <c r="I67" s="7" t="s">
        <v>50</v>
      </c>
      <c r="J67" s="9" t="s">
        <v>50</v>
      </c>
      <c r="K67" s="9" t="s">
        <v>51</v>
      </c>
      <c r="L67" s="9">
        <v>44.44</v>
      </c>
      <c r="M67" s="9">
        <v>12800</v>
      </c>
      <c r="N67" s="7">
        <v>7111.68</v>
      </c>
      <c r="O67" s="9">
        <f>M67*(100-L67)/100*E67</f>
      </c>
      <c r="P67" s="7" t="s">
        <v>52</v>
      </c>
      <c r="Q67" s="7">
        <v>6.52</v>
      </c>
      <c r="R67" s="9">
        <v>6.48</v>
      </c>
      <c r="S67" s="7">
        <v>4.07</v>
      </c>
      <c r="T67" s="7" t="s">
        <v>359</v>
      </c>
      <c r="U67" s="7">
        <v>1.006</v>
      </c>
      <c r="V67" s="7">
        <v>62.6</v>
      </c>
      <c r="W67" s="7">
        <v>58</v>
      </c>
      <c r="X67" s="7" t="s">
        <v>54</v>
      </c>
      <c r="Y67" s="7" t="s">
        <v>55</v>
      </c>
      <c r="Z67" s="7" t="s">
        <v>56</v>
      </c>
      <c r="AA67" s="7" t="s">
        <v>56</v>
      </c>
      <c r="AB67" s="7" t="s">
        <v>93</v>
      </c>
      <c r="AC67" s="10" t="s">
        <v>105</v>
      </c>
      <c r="AD67" s="7" t="s">
        <v>56</v>
      </c>
      <c r="AE67" s="7" t="s">
        <v>56</v>
      </c>
      <c r="AF67" s="7" t="s">
        <v>56</v>
      </c>
      <c r="AG67" s="7" t="s">
        <v>56</v>
      </c>
      <c r="AH67" s="7">
        <v>13824</v>
      </c>
      <c r="AI67" s="10" t="s">
        <v>59</v>
      </c>
      <c r="AJ67" s="7" t="s">
        <v>360</v>
      </c>
      <c r="AK67" s="7"/>
      <c r="AL67" s="7"/>
      <c r="AM67" s="7"/>
      <c r="AN67" s="7" t="s">
        <v>361</v>
      </c>
      <c r="AO67" s="7" t="b">
        <v>1</v>
      </c>
      <c r="AP67" s="7">
        <v>1</v>
      </c>
      <c r="AQ67" s="7">
        <v>1</v>
      </c>
      <c r="AR67" s="10" t="s">
        <v>62</v>
      </c>
    </row>
    <row r="68">
      <c r="A68" s="7">
        <v>66</v>
      </c>
      <c r="B68" s="7" t="s">
        <v>362</v>
      </c>
      <c r="C68" s="8" t="s">
        <v>46</v>
      </c>
      <c r="D68" s="7" t="s">
        <v>47</v>
      </c>
      <c r="E68" s="9">
        <v>1.08</v>
      </c>
      <c r="F68" s="7" t="s">
        <v>188</v>
      </c>
      <c r="G68" s="7" t="s">
        <v>91</v>
      </c>
      <c r="H68" s="7" t="s">
        <v>50</v>
      </c>
      <c r="I68" s="7" t="s">
        <v>50</v>
      </c>
      <c r="J68" s="9" t="s">
        <v>50</v>
      </c>
      <c r="K68" s="9" t="s">
        <v>51</v>
      </c>
      <c r="L68" s="9">
        <v>41.09</v>
      </c>
      <c r="M68" s="9">
        <v>9700</v>
      </c>
      <c r="N68" s="7">
        <v>5714.27</v>
      </c>
      <c r="O68" s="9">
        <f>M68*(100-L68)/100*E68</f>
      </c>
      <c r="P68" s="7" t="s">
        <v>52</v>
      </c>
      <c r="Q68" s="7">
        <v>6.65</v>
      </c>
      <c r="R68" s="9">
        <v>6.62</v>
      </c>
      <c r="S68" s="7">
        <v>4.03</v>
      </c>
      <c r="T68" s="7" t="s">
        <v>363</v>
      </c>
      <c r="U68" s="7">
        <v>1.005</v>
      </c>
      <c r="V68" s="7">
        <v>60.8</v>
      </c>
      <c r="W68" s="7">
        <v>59</v>
      </c>
      <c r="X68" s="7" t="s">
        <v>54</v>
      </c>
      <c r="Y68" s="7" t="s">
        <v>55</v>
      </c>
      <c r="Z68" s="7" t="s">
        <v>56</v>
      </c>
      <c r="AA68" s="7" t="s">
        <v>56</v>
      </c>
      <c r="AB68" s="7" t="s">
        <v>170</v>
      </c>
      <c r="AC68" s="10" t="s">
        <v>73</v>
      </c>
      <c r="AD68" s="7" t="s">
        <v>56</v>
      </c>
      <c r="AE68" s="7" t="s">
        <v>56</v>
      </c>
      <c r="AF68" s="7" t="s">
        <v>56</v>
      </c>
      <c r="AG68" s="7" t="s">
        <v>56</v>
      </c>
      <c r="AH68" s="7">
        <v>10476</v>
      </c>
      <c r="AI68" s="10" t="s">
        <v>59</v>
      </c>
      <c r="AJ68" s="7" t="s">
        <v>364</v>
      </c>
      <c r="AK68" s="7"/>
      <c r="AL68" s="7"/>
      <c r="AM68" s="7"/>
      <c r="AN68" s="7" t="s">
        <v>365</v>
      </c>
      <c r="AO68" s="7" t="b">
        <v>1</v>
      </c>
      <c r="AP68" s="7">
        <v>1</v>
      </c>
      <c r="AQ68" s="7">
        <v>1</v>
      </c>
      <c r="AR68" s="10" t="s">
        <v>62</v>
      </c>
    </row>
    <row r="69">
      <c r="A69" s="7">
        <v>67</v>
      </c>
      <c r="B69" s="7" t="s">
        <v>366</v>
      </c>
      <c r="C69" s="8" t="s">
        <v>46</v>
      </c>
      <c r="D69" s="7" t="s">
        <v>47</v>
      </c>
      <c r="E69" s="9">
        <v>1.07</v>
      </c>
      <c r="F69" s="7" t="s">
        <v>86</v>
      </c>
      <c r="G69" s="7" t="s">
        <v>70</v>
      </c>
      <c r="H69" s="7" t="s">
        <v>50</v>
      </c>
      <c r="I69" s="7" t="s">
        <v>50</v>
      </c>
      <c r="J69" s="9" t="s">
        <v>50</v>
      </c>
      <c r="K69" s="9" t="s">
        <v>51</v>
      </c>
      <c r="L69" s="9">
        <v>42.64</v>
      </c>
      <c r="M69" s="9">
        <v>9700</v>
      </c>
      <c r="N69" s="7">
        <v>5563.92</v>
      </c>
      <c r="O69" s="9">
        <f>M69*(100-L69)/100*E69</f>
      </c>
      <c r="P69" s="7" t="s">
        <v>52</v>
      </c>
      <c r="Q69" s="7">
        <v>6.52</v>
      </c>
      <c r="R69" s="9">
        <v>6.47</v>
      </c>
      <c r="S69" s="7">
        <v>4.07</v>
      </c>
      <c r="T69" s="7" t="s">
        <v>367</v>
      </c>
      <c r="U69" s="7">
        <v>1.008</v>
      </c>
      <c r="V69" s="7">
        <v>62.6</v>
      </c>
      <c r="W69" s="7">
        <v>59</v>
      </c>
      <c r="X69" s="7" t="s">
        <v>54</v>
      </c>
      <c r="Y69" s="7" t="s">
        <v>55</v>
      </c>
      <c r="Z69" s="7" t="s">
        <v>56</v>
      </c>
      <c r="AA69" s="7" t="s">
        <v>56</v>
      </c>
      <c r="AB69" s="7" t="s">
        <v>225</v>
      </c>
      <c r="AC69" s="7" t="s">
        <v>56</v>
      </c>
      <c r="AD69" s="7" t="s">
        <v>56</v>
      </c>
      <c r="AE69" s="7" t="s">
        <v>56</v>
      </c>
      <c r="AF69" s="7" t="s">
        <v>56</v>
      </c>
      <c r="AG69" s="7" t="s">
        <v>56</v>
      </c>
      <c r="AH69" s="7">
        <v>10379</v>
      </c>
      <c r="AI69" s="10" t="s">
        <v>59</v>
      </c>
      <c r="AJ69" s="7" t="s">
        <v>368</v>
      </c>
      <c r="AK69" s="7"/>
      <c r="AL69" s="7"/>
      <c r="AM69" s="7"/>
      <c r="AN69" s="7" t="s">
        <v>369</v>
      </c>
      <c r="AO69" s="7" t="b">
        <v>1</v>
      </c>
      <c r="AP69" s="7">
        <v>1</v>
      </c>
      <c r="AQ69" s="7">
        <v>1</v>
      </c>
      <c r="AR69" s="10" t="s">
        <v>62</v>
      </c>
    </row>
    <row r="70">
      <c r="A70" s="7">
        <v>68</v>
      </c>
      <c r="B70" s="7" t="s">
        <v>370</v>
      </c>
      <c r="C70" s="8" t="s">
        <v>46</v>
      </c>
      <c r="D70" s="7" t="s">
        <v>47</v>
      </c>
      <c r="E70" s="9">
        <v>1.07</v>
      </c>
      <c r="F70" s="7" t="s">
        <v>136</v>
      </c>
      <c r="G70" s="7" t="s">
        <v>91</v>
      </c>
      <c r="H70" s="7" t="s">
        <v>50</v>
      </c>
      <c r="I70" s="7" t="s">
        <v>50</v>
      </c>
      <c r="J70" s="9" t="s">
        <v>50</v>
      </c>
      <c r="K70" s="9" t="s">
        <v>51</v>
      </c>
      <c r="L70" s="9">
        <v>45.72</v>
      </c>
      <c r="M70" s="9">
        <v>11100</v>
      </c>
      <c r="N70" s="7">
        <v>6025.08</v>
      </c>
      <c r="O70" s="9">
        <f>M70*(100-L70)/100*E70</f>
      </c>
      <c r="P70" s="7" t="s">
        <v>52</v>
      </c>
      <c r="Q70" s="7">
        <v>6.53</v>
      </c>
      <c r="R70" s="9">
        <v>6.49</v>
      </c>
      <c r="S70" s="7">
        <v>4.07</v>
      </c>
      <c r="T70" s="7" t="s">
        <v>371</v>
      </c>
      <c r="U70" s="7">
        <v>1.006</v>
      </c>
      <c r="V70" s="7">
        <v>62.6</v>
      </c>
      <c r="W70" s="7">
        <v>59</v>
      </c>
      <c r="X70" s="7" t="s">
        <v>54</v>
      </c>
      <c r="Y70" s="7" t="s">
        <v>55</v>
      </c>
      <c r="Z70" s="7" t="s">
        <v>56</v>
      </c>
      <c r="AA70" s="7" t="s">
        <v>56</v>
      </c>
      <c r="AB70" s="7" t="s">
        <v>78</v>
      </c>
      <c r="AC70" s="7" t="s">
        <v>56</v>
      </c>
      <c r="AD70" s="7" t="s">
        <v>56</v>
      </c>
      <c r="AE70" s="7" t="s">
        <v>56</v>
      </c>
      <c r="AF70" s="7" t="s">
        <v>56</v>
      </c>
      <c r="AG70" s="7" t="s">
        <v>56</v>
      </c>
      <c r="AH70" s="7">
        <v>11877</v>
      </c>
      <c r="AI70" s="10" t="s">
        <v>59</v>
      </c>
      <c r="AJ70" s="7" t="s">
        <v>372</v>
      </c>
      <c r="AK70" s="7"/>
      <c r="AL70" s="7"/>
      <c r="AM70" s="7"/>
      <c r="AN70" s="7" t="s">
        <v>373</v>
      </c>
      <c r="AO70" s="7" t="b">
        <v>1</v>
      </c>
      <c r="AP70" s="7">
        <v>1</v>
      </c>
      <c r="AQ70" s="7">
        <v>1</v>
      </c>
      <c r="AR70" s="10" t="s">
        <v>62</v>
      </c>
    </row>
    <row r="71">
      <c r="A71" s="7">
        <v>69</v>
      </c>
      <c r="B71" s="7" t="s">
        <v>374</v>
      </c>
      <c r="C71" s="8" t="s">
        <v>46</v>
      </c>
      <c r="D71" s="7" t="s">
        <v>47</v>
      </c>
      <c r="E71" s="9">
        <v>1.07</v>
      </c>
      <c r="F71" s="7" t="s">
        <v>211</v>
      </c>
      <c r="G71" s="7" t="s">
        <v>127</v>
      </c>
      <c r="H71" s="7" t="s">
        <v>50</v>
      </c>
      <c r="I71" s="7" t="s">
        <v>50</v>
      </c>
      <c r="J71" s="9" t="s">
        <v>50</v>
      </c>
      <c r="K71" s="9" t="s">
        <v>51</v>
      </c>
      <c r="L71" s="9">
        <v>45.21</v>
      </c>
      <c r="M71" s="9">
        <v>9700</v>
      </c>
      <c r="N71" s="7">
        <v>5314.63</v>
      </c>
      <c r="O71" s="9">
        <f>M71*(100-L71)/100*E71</f>
      </c>
      <c r="P71" s="7" t="s">
        <v>52</v>
      </c>
      <c r="Q71" s="7">
        <v>6.59</v>
      </c>
      <c r="R71" s="9">
        <v>6.55</v>
      </c>
      <c r="S71" s="7">
        <v>4.03</v>
      </c>
      <c r="T71" s="7" t="s">
        <v>375</v>
      </c>
      <c r="U71" s="7">
        <v>1.006</v>
      </c>
      <c r="V71" s="7">
        <v>61.2</v>
      </c>
      <c r="W71" s="7">
        <v>59</v>
      </c>
      <c r="X71" s="7" t="s">
        <v>54</v>
      </c>
      <c r="Y71" s="7" t="s">
        <v>55</v>
      </c>
      <c r="Z71" s="7" t="s">
        <v>56</v>
      </c>
      <c r="AA71" s="7" t="s">
        <v>56</v>
      </c>
      <c r="AB71" s="7" t="s">
        <v>93</v>
      </c>
      <c r="AC71" s="10" t="s">
        <v>105</v>
      </c>
      <c r="AD71" s="7" t="s">
        <v>56</v>
      </c>
      <c r="AE71" s="7" t="s">
        <v>56</v>
      </c>
      <c r="AF71" s="7" t="s">
        <v>56</v>
      </c>
      <c r="AG71" s="7" t="s">
        <v>56</v>
      </c>
      <c r="AH71" s="7">
        <v>10379</v>
      </c>
      <c r="AI71" s="10" t="s">
        <v>59</v>
      </c>
      <c r="AJ71" s="7" t="s">
        <v>376</v>
      </c>
      <c r="AK71" s="7"/>
      <c r="AL71" s="7"/>
      <c r="AM71" s="7"/>
      <c r="AN71" s="7" t="s">
        <v>377</v>
      </c>
      <c r="AO71" s="7" t="b">
        <v>1</v>
      </c>
      <c r="AP71" s="7">
        <v>1</v>
      </c>
      <c r="AQ71" s="7">
        <v>1</v>
      </c>
      <c r="AR71" s="10" t="s">
        <v>62</v>
      </c>
    </row>
    <row r="72">
      <c r="A72" s="7">
        <v>70</v>
      </c>
      <c r="B72" s="7" t="s">
        <v>378</v>
      </c>
      <c r="C72" s="8" t="s">
        <v>46</v>
      </c>
      <c r="D72" s="7" t="s">
        <v>47</v>
      </c>
      <c r="E72" s="9">
        <v>1.07</v>
      </c>
      <c r="F72" s="7" t="s">
        <v>188</v>
      </c>
      <c r="G72" s="7" t="s">
        <v>70</v>
      </c>
      <c r="H72" s="7" t="s">
        <v>50</v>
      </c>
      <c r="I72" s="7" t="s">
        <v>50</v>
      </c>
      <c r="J72" s="9" t="s">
        <v>50</v>
      </c>
      <c r="K72" s="9" t="s">
        <v>51</v>
      </c>
      <c r="L72" s="9">
        <v>42.64</v>
      </c>
      <c r="M72" s="9">
        <v>8000</v>
      </c>
      <c r="N72" s="7">
        <v>4588.8</v>
      </c>
      <c r="O72" s="9">
        <f>M72*(100-L72)/100*E72</f>
      </c>
      <c r="P72" s="7" t="s">
        <v>52</v>
      </c>
      <c r="Q72" s="7">
        <v>6.53</v>
      </c>
      <c r="R72" s="9">
        <v>6.48</v>
      </c>
      <c r="S72" s="7">
        <v>4.07</v>
      </c>
      <c r="T72" s="7" t="s">
        <v>379</v>
      </c>
      <c r="U72" s="7">
        <v>1.008</v>
      </c>
      <c r="V72" s="7">
        <v>62.6</v>
      </c>
      <c r="W72" s="7">
        <v>59</v>
      </c>
      <c r="X72" s="7" t="s">
        <v>54</v>
      </c>
      <c r="Y72" s="7" t="s">
        <v>55</v>
      </c>
      <c r="Z72" s="7" t="s">
        <v>56</v>
      </c>
      <c r="AA72" s="7" t="s">
        <v>56</v>
      </c>
      <c r="AB72" s="7" t="s">
        <v>380</v>
      </c>
      <c r="AC72" s="7" t="s">
        <v>56</v>
      </c>
      <c r="AD72" s="7" t="s">
        <v>56</v>
      </c>
      <c r="AE72" s="7" t="s">
        <v>56</v>
      </c>
      <c r="AF72" s="7" t="s">
        <v>56</v>
      </c>
      <c r="AG72" s="7" t="s">
        <v>56</v>
      </c>
      <c r="AH72" s="7">
        <v>8560</v>
      </c>
      <c r="AI72" s="10" t="s">
        <v>59</v>
      </c>
      <c r="AJ72" s="7" t="s">
        <v>381</v>
      </c>
      <c r="AK72" s="7"/>
      <c r="AL72" s="7"/>
      <c r="AM72" s="7"/>
      <c r="AN72" s="7" t="s">
        <v>382</v>
      </c>
      <c r="AO72" s="7" t="b">
        <v>1</v>
      </c>
      <c r="AP72" s="7">
        <v>1</v>
      </c>
      <c r="AQ72" s="7">
        <v>1</v>
      </c>
      <c r="AR72" s="10" t="s">
        <v>62</v>
      </c>
    </row>
    <row r="73">
      <c r="A73" s="7">
        <v>71</v>
      </c>
      <c r="B73" s="7" t="s">
        <v>383</v>
      </c>
      <c r="C73" s="8" t="s">
        <v>46</v>
      </c>
      <c r="D73" s="7" t="s">
        <v>47</v>
      </c>
      <c r="E73" s="9">
        <v>1.06</v>
      </c>
      <c r="F73" s="7" t="s">
        <v>48</v>
      </c>
      <c r="G73" s="7" t="s">
        <v>70</v>
      </c>
      <c r="H73" s="7" t="s">
        <v>50</v>
      </c>
      <c r="I73" s="7" t="s">
        <v>50</v>
      </c>
      <c r="J73" s="9" t="s">
        <v>50</v>
      </c>
      <c r="K73" s="9" t="s">
        <v>51</v>
      </c>
      <c r="L73" s="9">
        <v>43.92</v>
      </c>
      <c r="M73" s="9">
        <v>9700</v>
      </c>
      <c r="N73" s="7">
        <v>5439.76</v>
      </c>
      <c r="O73" s="9">
        <f>M73*(100-L73)/100*E73</f>
      </c>
      <c r="P73" s="7" t="s">
        <v>52</v>
      </c>
      <c r="Q73" s="7">
        <v>6.53</v>
      </c>
      <c r="R73" s="9">
        <v>6.49</v>
      </c>
      <c r="S73" s="7">
        <v>4.05</v>
      </c>
      <c r="T73" s="7" t="s">
        <v>384</v>
      </c>
      <c r="U73" s="7">
        <v>1.006</v>
      </c>
      <c r="V73" s="7">
        <v>62.2</v>
      </c>
      <c r="W73" s="7">
        <v>60</v>
      </c>
      <c r="X73" s="7" t="s">
        <v>54</v>
      </c>
      <c r="Y73" s="7" t="s">
        <v>55</v>
      </c>
      <c r="Z73" s="7" t="s">
        <v>56</v>
      </c>
      <c r="AA73" s="7" t="s">
        <v>56</v>
      </c>
      <c r="AB73" s="7" t="s">
        <v>115</v>
      </c>
      <c r="AC73" s="7" t="s">
        <v>56</v>
      </c>
      <c r="AD73" s="7" t="s">
        <v>56</v>
      </c>
      <c r="AE73" s="7" t="s">
        <v>56</v>
      </c>
      <c r="AF73" s="7" t="s">
        <v>56</v>
      </c>
      <c r="AG73" s="7" t="s">
        <v>56</v>
      </c>
      <c r="AH73" s="7">
        <v>10282</v>
      </c>
      <c r="AI73" s="10" t="s">
        <v>59</v>
      </c>
      <c r="AJ73" s="7" t="s">
        <v>385</v>
      </c>
      <c r="AK73" s="7"/>
      <c r="AL73" s="7"/>
      <c r="AM73" s="7"/>
      <c r="AN73" s="7" t="s">
        <v>386</v>
      </c>
      <c r="AO73" s="7" t="b">
        <v>1</v>
      </c>
      <c r="AP73" s="7">
        <v>1</v>
      </c>
      <c r="AQ73" s="7">
        <v>1</v>
      </c>
      <c r="AR73" s="10" t="s">
        <v>62</v>
      </c>
    </row>
    <row r="74">
      <c r="A74" s="7">
        <v>72</v>
      </c>
      <c r="B74" s="7" t="s">
        <v>387</v>
      </c>
      <c r="C74" s="8" t="s">
        <v>46</v>
      </c>
      <c r="D74" s="7" t="s">
        <v>47</v>
      </c>
      <c r="E74" s="9">
        <v>1.06</v>
      </c>
      <c r="F74" s="7" t="s">
        <v>86</v>
      </c>
      <c r="G74" s="7" t="s">
        <v>91</v>
      </c>
      <c r="H74" s="7" t="s">
        <v>50</v>
      </c>
      <c r="I74" s="7" t="s">
        <v>50</v>
      </c>
      <c r="J74" s="9" t="s">
        <v>50</v>
      </c>
      <c r="K74" s="9" t="s">
        <v>51</v>
      </c>
      <c r="L74" s="9">
        <v>42.12</v>
      </c>
      <c r="M74" s="9">
        <v>12800</v>
      </c>
      <c r="N74" s="7">
        <v>7408.64</v>
      </c>
      <c r="O74" s="9">
        <f>M74*(100-L74)/100*E74</f>
      </c>
      <c r="P74" s="7" t="s">
        <v>52</v>
      </c>
      <c r="Q74" s="7">
        <v>6.5</v>
      </c>
      <c r="R74" s="9">
        <v>6.46</v>
      </c>
      <c r="S74" s="7">
        <v>4.06</v>
      </c>
      <c r="T74" s="7" t="s">
        <v>388</v>
      </c>
      <c r="U74" s="7">
        <v>1.006</v>
      </c>
      <c r="V74" s="7">
        <v>62.6</v>
      </c>
      <c r="W74" s="7">
        <v>60</v>
      </c>
      <c r="X74" s="7" t="s">
        <v>54</v>
      </c>
      <c r="Y74" s="7" t="s">
        <v>55</v>
      </c>
      <c r="Z74" s="7" t="s">
        <v>56</v>
      </c>
      <c r="AA74" s="7" t="s">
        <v>56</v>
      </c>
      <c r="AB74" s="7" t="s">
        <v>78</v>
      </c>
      <c r="AC74" s="7" t="s">
        <v>56</v>
      </c>
      <c r="AD74" s="7" t="s">
        <v>56</v>
      </c>
      <c r="AE74" s="7" t="s">
        <v>56</v>
      </c>
      <c r="AF74" s="7" t="s">
        <v>56</v>
      </c>
      <c r="AG74" s="7" t="s">
        <v>56</v>
      </c>
      <c r="AH74" s="7">
        <v>13568</v>
      </c>
      <c r="AI74" s="10" t="s">
        <v>59</v>
      </c>
      <c r="AJ74" s="7" t="s">
        <v>389</v>
      </c>
      <c r="AK74" s="7"/>
      <c r="AL74" s="7"/>
      <c r="AM74" s="7"/>
      <c r="AN74" s="7" t="s">
        <v>390</v>
      </c>
      <c r="AO74" s="7" t="b">
        <v>1</v>
      </c>
      <c r="AP74" s="7">
        <v>1</v>
      </c>
      <c r="AQ74" s="7">
        <v>1</v>
      </c>
      <c r="AR74" s="10" t="s">
        <v>62</v>
      </c>
    </row>
    <row r="75">
      <c r="A75" s="7">
        <v>73</v>
      </c>
      <c r="B75" s="7" t="s">
        <v>391</v>
      </c>
      <c r="C75" s="8" t="s">
        <v>46</v>
      </c>
      <c r="D75" s="7" t="s">
        <v>47</v>
      </c>
      <c r="E75" s="9">
        <v>1.06</v>
      </c>
      <c r="F75" s="7" t="s">
        <v>86</v>
      </c>
      <c r="G75" s="7" t="s">
        <v>91</v>
      </c>
      <c r="H75" s="7" t="s">
        <v>50</v>
      </c>
      <c r="I75" s="7" t="s">
        <v>50</v>
      </c>
      <c r="J75" s="9" t="s">
        <v>50</v>
      </c>
      <c r="K75" s="9" t="s">
        <v>51</v>
      </c>
      <c r="L75" s="9">
        <v>44.44</v>
      </c>
      <c r="M75" s="9">
        <v>12800</v>
      </c>
      <c r="N75" s="7">
        <v>7111.68</v>
      </c>
      <c r="O75" s="9">
        <f>M75*(100-L75)/100*E75</f>
      </c>
      <c r="P75" s="7" t="s">
        <v>52</v>
      </c>
      <c r="Q75" s="7">
        <v>6.49</v>
      </c>
      <c r="R75" s="9">
        <v>6.45</v>
      </c>
      <c r="S75" s="7">
        <v>4.05</v>
      </c>
      <c r="T75" s="7" t="s">
        <v>392</v>
      </c>
      <c r="U75" s="7">
        <v>1.006</v>
      </c>
      <c r="V75" s="7">
        <v>62.6</v>
      </c>
      <c r="W75" s="7">
        <v>59</v>
      </c>
      <c r="X75" s="7" t="s">
        <v>54</v>
      </c>
      <c r="Y75" s="7" t="s">
        <v>55</v>
      </c>
      <c r="Z75" s="7" t="s">
        <v>56</v>
      </c>
      <c r="AA75" s="7" t="s">
        <v>56</v>
      </c>
      <c r="AB75" s="7" t="s">
        <v>393</v>
      </c>
      <c r="AC75" s="10" t="s">
        <v>105</v>
      </c>
      <c r="AD75" s="7" t="s">
        <v>56</v>
      </c>
      <c r="AE75" s="7" t="s">
        <v>56</v>
      </c>
      <c r="AF75" s="7" t="s">
        <v>56</v>
      </c>
      <c r="AG75" s="7" t="s">
        <v>56</v>
      </c>
      <c r="AH75" s="7">
        <v>13568</v>
      </c>
      <c r="AI75" s="10" t="s">
        <v>59</v>
      </c>
      <c r="AJ75" s="7" t="s">
        <v>394</v>
      </c>
      <c r="AK75" s="7"/>
      <c r="AL75" s="7"/>
      <c r="AM75" s="7"/>
      <c r="AN75" s="7" t="s">
        <v>395</v>
      </c>
      <c r="AO75" s="7" t="b">
        <v>1</v>
      </c>
      <c r="AP75" s="7">
        <v>1</v>
      </c>
      <c r="AQ75" s="7">
        <v>1</v>
      </c>
      <c r="AR75" s="10" t="s">
        <v>62</v>
      </c>
    </row>
    <row r="76">
      <c r="A76" s="7">
        <v>74</v>
      </c>
      <c r="B76" s="7" t="s">
        <v>396</v>
      </c>
      <c r="C76" s="8" t="s">
        <v>46</v>
      </c>
      <c r="D76" s="7" t="s">
        <v>47</v>
      </c>
      <c r="E76" s="9">
        <v>1.06</v>
      </c>
      <c r="F76" s="7" t="s">
        <v>136</v>
      </c>
      <c r="G76" s="7" t="s">
        <v>120</v>
      </c>
      <c r="H76" s="7" t="s">
        <v>50</v>
      </c>
      <c r="I76" s="7" t="s">
        <v>50</v>
      </c>
      <c r="J76" s="9" t="s">
        <v>50</v>
      </c>
      <c r="K76" s="9" t="s">
        <v>51</v>
      </c>
      <c r="L76" s="9">
        <v>43.15</v>
      </c>
      <c r="M76" s="9">
        <v>7500</v>
      </c>
      <c r="N76" s="7">
        <v>4263.75</v>
      </c>
      <c r="O76" s="9">
        <f>M76*(100-L76)/100*E76</f>
      </c>
      <c r="P76" s="7" t="s">
        <v>52</v>
      </c>
      <c r="Q76" s="7">
        <v>6.52</v>
      </c>
      <c r="R76" s="9">
        <v>6.5</v>
      </c>
      <c r="S76" s="7">
        <v>4.02</v>
      </c>
      <c r="T76" s="7" t="s">
        <v>397</v>
      </c>
      <c r="U76" s="7">
        <v>1.003</v>
      </c>
      <c r="V76" s="7">
        <v>61.7</v>
      </c>
      <c r="W76" s="7">
        <v>57</v>
      </c>
      <c r="X76" s="7" t="s">
        <v>302</v>
      </c>
      <c r="Y76" s="7" t="s">
        <v>302</v>
      </c>
      <c r="Z76" s="7" t="s">
        <v>302</v>
      </c>
      <c r="AA76" s="7" t="s">
        <v>302</v>
      </c>
      <c r="AB76" s="7" t="s">
        <v>398</v>
      </c>
      <c r="AC76" s="7" t="s">
        <v>302</v>
      </c>
      <c r="AD76" s="7" t="s">
        <v>302</v>
      </c>
      <c r="AE76" s="7" t="s">
        <v>302</v>
      </c>
      <c r="AF76" s="7" t="s">
        <v>302</v>
      </c>
      <c r="AG76" s="7" t="s">
        <v>302</v>
      </c>
      <c r="AH76" s="7">
        <v>7950</v>
      </c>
      <c r="AI76" s="7"/>
      <c r="AJ76" s="7" t="s">
        <v>399</v>
      </c>
      <c r="AK76" s="7"/>
      <c r="AL76" s="7"/>
      <c r="AM76" s="7"/>
      <c r="AN76" s="7" t="s">
        <v>400</v>
      </c>
      <c r="AO76" s="7" t="b">
        <v>1</v>
      </c>
      <c r="AP76" s="7">
        <v>0</v>
      </c>
      <c r="AQ76" s="7">
        <v>0</v>
      </c>
      <c r="AR76" s="10" t="s">
        <v>62</v>
      </c>
    </row>
    <row r="77">
      <c r="A77" s="7">
        <v>75</v>
      </c>
      <c r="B77" s="7" t="s">
        <v>401</v>
      </c>
      <c r="C77" s="8" t="s">
        <v>46</v>
      </c>
      <c r="D77" s="7" t="s">
        <v>47</v>
      </c>
      <c r="E77" s="9">
        <v>1.06</v>
      </c>
      <c r="F77" s="7" t="s">
        <v>136</v>
      </c>
      <c r="G77" s="7" t="s">
        <v>120</v>
      </c>
      <c r="H77" s="7" t="s">
        <v>50</v>
      </c>
      <c r="I77" s="7" t="s">
        <v>50</v>
      </c>
      <c r="J77" s="9" t="s">
        <v>50</v>
      </c>
      <c r="K77" s="9" t="s">
        <v>51</v>
      </c>
      <c r="L77" s="9">
        <v>43.67</v>
      </c>
      <c r="M77" s="9">
        <v>7500</v>
      </c>
      <c r="N77" s="7">
        <v>4224.75</v>
      </c>
      <c r="O77" s="9">
        <f>M77*(100-L77)/100*E77</f>
      </c>
      <c r="P77" s="7" t="s">
        <v>52</v>
      </c>
      <c r="Q77" s="7">
        <v>6.53</v>
      </c>
      <c r="R77" s="9">
        <v>6.47</v>
      </c>
      <c r="S77" s="7">
        <v>4.07</v>
      </c>
      <c r="T77" s="7" t="s">
        <v>402</v>
      </c>
      <c r="U77" s="7">
        <v>1.009</v>
      </c>
      <c r="V77" s="7">
        <v>62.7</v>
      </c>
      <c r="W77" s="7">
        <v>57</v>
      </c>
      <c r="X77" s="7" t="s">
        <v>302</v>
      </c>
      <c r="Y77" s="7" t="s">
        <v>302</v>
      </c>
      <c r="Z77" s="7" t="s">
        <v>302</v>
      </c>
      <c r="AA77" s="7" t="s">
        <v>302</v>
      </c>
      <c r="AB77" s="7" t="s">
        <v>403</v>
      </c>
      <c r="AC77" s="7" t="s">
        <v>302</v>
      </c>
      <c r="AD77" s="7" t="s">
        <v>302</v>
      </c>
      <c r="AE77" s="7" t="s">
        <v>302</v>
      </c>
      <c r="AF77" s="7" t="s">
        <v>302</v>
      </c>
      <c r="AG77" s="7" t="s">
        <v>302</v>
      </c>
      <c r="AH77" s="7">
        <v>7950</v>
      </c>
      <c r="AI77" s="10" t="s">
        <v>59</v>
      </c>
      <c r="AJ77" s="7" t="s">
        <v>404</v>
      </c>
      <c r="AK77" s="7"/>
      <c r="AL77" s="7"/>
      <c r="AM77" s="7"/>
      <c r="AN77" s="7" t="s">
        <v>405</v>
      </c>
      <c r="AO77" s="7" t="b">
        <v>1</v>
      </c>
      <c r="AP77" s="7">
        <v>1</v>
      </c>
      <c r="AQ77" s="7">
        <v>0</v>
      </c>
      <c r="AR77" s="10" t="s">
        <v>62</v>
      </c>
    </row>
    <row r="78">
      <c r="A78" s="7">
        <v>76</v>
      </c>
      <c r="B78" s="7" t="s">
        <v>406</v>
      </c>
      <c r="C78" s="8" t="s">
        <v>46</v>
      </c>
      <c r="D78" s="7" t="s">
        <v>47</v>
      </c>
      <c r="E78" s="9">
        <v>1.06</v>
      </c>
      <c r="F78" s="7" t="s">
        <v>136</v>
      </c>
      <c r="G78" s="7" t="s">
        <v>120</v>
      </c>
      <c r="H78" s="7" t="s">
        <v>50</v>
      </c>
      <c r="I78" s="7" t="s">
        <v>50</v>
      </c>
      <c r="J78" s="9" t="s">
        <v>50</v>
      </c>
      <c r="K78" s="9" t="s">
        <v>51</v>
      </c>
      <c r="L78" s="9">
        <v>42.64</v>
      </c>
      <c r="M78" s="9">
        <v>7500</v>
      </c>
      <c r="N78" s="7">
        <v>4302</v>
      </c>
      <c r="O78" s="9">
        <f>M78*(100-L78)/100*E78</f>
      </c>
      <c r="P78" s="7" t="s">
        <v>52</v>
      </c>
      <c r="Q78" s="7">
        <v>6.51</v>
      </c>
      <c r="R78" s="9">
        <v>6.48</v>
      </c>
      <c r="S78" s="7">
        <v>4.05</v>
      </c>
      <c r="T78" s="7" t="s">
        <v>407</v>
      </c>
      <c r="U78" s="7">
        <v>1.005</v>
      </c>
      <c r="V78" s="7">
        <v>62.3</v>
      </c>
      <c r="W78" s="7">
        <v>58</v>
      </c>
      <c r="X78" s="7" t="s">
        <v>54</v>
      </c>
      <c r="Y78" s="7" t="s">
        <v>55</v>
      </c>
      <c r="Z78" s="7" t="s">
        <v>56</v>
      </c>
      <c r="AA78" s="7" t="s">
        <v>56</v>
      </c>
      <c r="AB78" s="7" t="s">
        <v>408</v>
      </c>
      <c r="AC78" s="10" t="s">
        <v>73</v>
      </c>
      <c r="AD78" s="7" t="s">
        <v>56</v>
      </c>
      <c r="AE78" s="7" t="s">
        <v>56</v>
      </c>
      <c r="AF78" s="7" t="s">
        <v>56</v>
      </c>
      <c r="AG78" s="7" t="s">
        <v>56</v>
      </c>
      <c r="AH78" s="7">
        <v>7950</v>
      </c>
      <c r="AI78" s="10" t="s">
        <v>59</v>
      </c>
      <c r="AJ78" s="7" t="s">
        <v>409</v>
      </c>
      <c r="AK78" s="7"/>
      <c r="AL78" s="7"/>
      <c r="AM78" s="7"/>
      <c r="AN78" s="7" t="s">
        <v>410</v>
      </c>
      <c r="AO78" s="7" t="b">
        <v>1</v>
      </c>
      <c r="AP78" s="7">
        <v>1</v>
      </c>
      <c r="AQ78" s="7">
        <v>1</v>
      </c>
      <c r="AR78" s="10" t="s">
        <v>62</v>
      </c>
    </row>
    <row r="79">
      <c r="A79" s="7">
        <v>77</v>
      </c>
      <c r="B79" s="7" t="s">
        <v>411</v>
      </c>
      <c r="C79" s="8" t="s">
        <v>46</v>
      </c>
      <c r="D79" s="7" t="s">
        <v>47</v>
      </c>
      <c r="E79" s="9">
        <v>1.06</v>
      </c>
      <c r="F79" s="7" t="s">
        <v>136</v>
      </c>
      <c r="G79" s="7" t="s">
        <v>70</v>
      </c>
      <c r="H79" s="7" t="s">
        <v>50</v>
      </c>
      <c r="I79" s="7" t="s">
        <v>50</v>
      </c>
      <c r="J79" s="9" t="s">
        <v>50</v>
      </c>
      <c r="K79" s="9" t="s">
        <v>51</v>
      </c>
      <c r="L79" s="9">
        <v>43.41</v>
      </c>
      <c r="M79" s="9">
        <v>8800</v>
      </c>
      <c r="N79" s="7">
        <v>4979.92</v>
      </c>
      <c r="O79" s="9">
        <f>M79*(100-L79)/100*E79</f>
      </c>
      <c r="P79" s="7" t="s">
        <v>52</v>
      </c>
      <c r="Q79" s="7">
        <v>6.51</v>
      </c>
      <c r="R79" s="9">
        <v>6.48</v>
      </c>
      <c r="S79" s="7">
        <v>4.05</v>
      </c>
      <c r="T79" s="7" t="s">
        <v>412</v>
      </c>
      <c r="U79" s="7">
        <v>1.005</v>
      </c>
      <c r="V79" s="7">
        <v>62.4</v>
      </c>
      <c r="W79" s="7">
        <v>57</v>
      </c>
      <c r="X79" s="7" t="s">
        <v>54</v>
      </c>
      <c r="Y79" s="7" t="s">
        <v>55</v>
      </c>
      <c r="Z79" s="7" t="s">
        <v>56</v>
      </c>
      <c r="AA79" s="7" t="s">
        <v>56</v>
      </c>
      <c r="AB79" s="7" t="s">
        <v>413</v>
      </c>
      <c r="AC79" s="10" t="s">
        <v>105</v>
      </c>
      <c r="AD79" s="7" t="s">
        <v>56</v>
      </c>
      <c r="AE79" s="7" t="s">
        <v>56</v>
      </c>
      <c r="AF79" s="7" t="s">
        <v>56</v>
      </c>
      <c r="AG79" s="7" t="s">
        <v>56</v>
      </c>
      <c r="AH79" s="7">
        <v>9328</v>
      </c>
      <c r="AI79" s="10" t="s">
        <v>59</v>
      </c>
      <c r="AJ79" s="7" t="s">
        <v>414</v>
      </c>
      <c r="AK79" s="7"/>
      <c r="AL79" s="7"/>
      <c r="AM79" s="7"/>
      <c r="AN79" s="7" t="s">
        <v>415</v>
      </c>
      <c r="AO79" s="7" t="b">
        <v>1</v>
      </c>
      <c r="AP79" s="7">
        <v>1</v>
      </c>
      <c r="AQ79" s="7">
        <v>1</v>
      </c>
      <c r="AR79" s="10" t="s">
        <v>62</v>
      </c>
    </row>
    <row r="80">
      <c r="A80" s="7">
        <v>78</v>
      </c>
      <c r="B80" s="7" t="s">
        <v>416</v>
      </c>
      <c r="C80" s="8" t="s">
        <v>46</v>
      </c>
      <c r="D80" s="7" t="s">
        <v>47</v>
      </c>
      <c r="E80" s="9">
        <v>1.06</v>
      </c>
      <c r="F80" s="7" t="s">
        <v>188</v>
      </c>
      <c r="G80" s="7" t="s">
        <v>141</v>
      </c>
      <c r="H80" s="7" t="s">
        <v>50</v>
      </c>
      <c r="I80" s="7" t="s">
        <v>50</v>
      </c>
      <c r="J80" s="9" t="s">
        <v>50</v>
      </c>
      <c r="K80" s="9" t="s">
        <v>51</v>
      </c>
      <c r="L80" s="9">
        <v>40.84</v>
      </c>
      <c r="M80" s="9">
        <v>5600</v>
      </c>
      <c r="N80" s="7">
        <v>3312.96</v>
      </c>
      <c r="O80" s="9">
        <f>M80*(100-L80)/100*E80</f>
      </c>
      <c r="P80" s="7" t="s">
        <v>52</v>
      </c>
      <c r="Q80" s="7">
        <v>6.61</v>
      </c>
      <c r="R80" s="9">
        <v>6.57</v>
      </c>
      <c r="S80" s="7">
        <v>4.01</v>
      </c>
      <c r="T80" s="7" t="s">
        <v>417</v>
      </c>
      <c r="U80" s="7">
        <v>1.006</v>
      </c>
      <c r="V80" s="7">
        <v>60.8</v>
      </c>
      <c r="W80" s="7">
        <v>60</v>
      </c>
      <c r="X80" s="7" t="s">
        <v>54</v>
      </c>
      <c r="Y80" s="7" t="s">
        <v>56</v>
      </c>
      <c r="Z80" s="7" t="s">
        <v>56</v>
      </c>
      <c r="AA80" s="7" t="s">
        <v>56</v>
      </c>
      <c r="AB80" s="7" t="s">
        <v>418</v>
      </c>
      <c r="AC80" s="7" t="s">
        <v>56</v>
      </c>
      <c r="AD80" s="7" t="s">
        <v>56</v>
      </c>
      <c r="AE80" s="7" t="s">
        <v>56</v>
      </c>
      <c r="AF80" s="7" t="s">
        <v>56</v>
      </c>
      <c r="AG80" s="7" t="s">
        <v>56</v>
      </c>
      <c r="AH80" s="7">
        <v>5936</v>
      </c>
      <c r="AI80" s="10" t="s">
        <v>59</v>
      </c>
      <c r="AJ80" s="7" t="s">
        <v>419</v>
      </c>
      <c r="AK80" s="7"/>
      <c r="AL80" s="7"/>
      <c r="AM80" s="7"/>
      <c r="AN80" s="7" t="s">
        <v>420</v>
      </c>
      <c r="AO80" s="7" t="b">
        <v>1</v>
      </c>
      <c r="AP80" s="7">
        <v>1</v>
      </c>
      <c r="AQ80" s="7">
        <v>1</v>
      </c>
      <c r="AR80" s="10" t="s">
        <v>62</v>
      </c>
    </row>
    <row r="81">
      <c r="A81" s="7">
        <v>79</v>
      </c>
      <c r="B81" s="7" t="s">
        <v>421</v>
      </c>
      <c r="C81" s="8" t="s">
        <v>46</v>
      </c>
      <c r="D81" s="7" t="s">
        <v>47</v>
      </c>
      <c r="E81" s="9">
        <v>1.06</v>
      </c>
      <c r="F81" s="7" t="s">
        <v>188</v>
      </c>
      <c r="G81" s="7" t="s">
        <v>127</v>
      </c>
      <c r="H81" s="7" t="s">
        <v>50</v>
      </c>
      <c r="I81" s="7" t="s">
        <v>50</v>
      </c>
      <c r="J81" s="9" t="s">
        <v>50</v>
      </c>
      <c r="K81" s="9" t="s">
        <v>51</v>
      </c>
      <c r="L81" s="9">
        <v>48.55</v>
      </c>
      <c r="M81" s="9">
        <v>9700</v>
      </c>
      <c r="N81" s="7">
        <v>4990.65</v>
      </c>
      <c r="O81" s="9">
        <f>M81*(100-L81)/100*E81</f>
      </c>
      <c r="P81" s="7" t="s">
        <v>52</v>
      </c>
      <c r="Q81" s="7">
        <v>6.51</v>
      </c>
      <c r="R81" s="9">
        <v>6.47</v>
      </c>
      <c r="S81" s="7">
        <v>4.05</v>
      </c>
      <c r="T81" s="7" t="s">
        <v>422</v>
      </c>
      <c r="U81" s="7">
        <v>1.006</v>
      </c>
      <c r="V81" s="7">
        <v>62.3</v>
      </c>
      <c r="W81" s="7">
        <v>60</v>
      </c>
      <c r="X81" s="7" t="s">
        <v>265</v>
      </c>
      <c r="Y81" s="7" t="s">
        <v>55</v>
      </c>
      <c r="Z81" s="7" t="s">
        <v>56</v>
      </c>
      <c r="AA81" s="7" t="s">
        <v>56</v>
      </c>
      <c r="AB81" s="7" t="s">
        <v>423</v>
      </c>
      <c r="AC81" s="7" t="s">
        <v>56</v>
      </c>
      <c r="AD81" s="7" t="s">
        <v>56</v>
      </c>
      <c r="AE81" s="7" t="s">
        <v>56</v>
      </c>
      <c r="AF81" s="7" t="s">
        <v>56</v>
      </c>
      <c r="AG81" s="7" t="s">
        <v>56</v>
      </c>
      <c r="AH81" s="7">
        <v>10282</v>
      </c>
      <c r="AI81" s="10" t="s">
        <v>59</v>
      </c>
      <c r="AJ81" s="7" t="s">
        <v>424</v>
      </c>
      <c r="AK81" s="7"/>
      <c r="AL81" s="7"/>
      <c r="AM81" s="7"/>
      <c r="AN81" s="7" t="s">
        <v>425</v>
      </c>
      <c r="AO81" s="7" t="b">
        <v>1</v>
      </c>
      <c r="AP81" s="7">
        <v>1</v>
      </c>
      <c r="AQ81" s="7">
        <v>1</v>
      </c>
      <c r="AR81" s="10" t="s">
        <v>62</v>
      </c>
    </row>
    <row r="82">
      <c r="A82" s="7">
        <v>80</v>
      </c>
      <c r="B82" s="7" t="s">
        <v>426</v>
      </c>
      <c r="C82" s="8" t="s">
        <v>46</v>
      </c>
      <c r="D82" s="7" t="s">
        <v>47</v>
      </c>
      <c r="E82" s="9">
        <v>1.06</v>
      </c>
      <c r="F82" s="7" t="s">
        <v>188</v>
      </c>
      <c r="G82" s="7" t="s">
        <v>91</v>
      </c>
      <c r="H82" s="7" t="s">
        <v>50</v>
      </c>
      <c r="I82" s="7" t="s">
        <v>50</v>
      </c>
      <c r="J82" s="9" t="s">
        <v>50</v>
      </c>
      <c r="K82" s="9" t="s">
        <v>51</v>
      </c>
      <c r="L82" s="9">
        <v>43.67</v>
      </c>
      <c r="M82" s="9">
        <v>9700</v>
      </c>
      <c r="N82" s="7">
        <v>5464.01</v>
      </c>
      <c r="O82" s="9">
        <f>M82*(100-L82)/100*E82</f>
      </c>
      <c r="P82" s="7" t="s">
        <v>52</v>
      </c>
      <c r="Q82" s="7">
        <v>6.52</v>
      </c>
      <c r="R82" s="9">
        <v>6.49</v>
      </c>
      <c r="S82" s="7">
        <v>4.04</v>
      </c>
      <c r="T82" s="7" t="s">
        <v>427</v>
      </c>
      <c r="U82" s="7">
        <v>1.005</v>
      </c>
      <c r="V82" s="7">
        <v>62.1</v>
      </c>
      <c r="W82" s="7">
        <v>61</v>
      </c>
      <c r="X82" s="7" t="s">
        <v>54</v>
      </c>
      <c r="Y82" s="7" t="s">
        <v>55</v>
      </c>
      <c r="Z82" s="7" t="s">
        <v>56</v>
      </c>
      <c r="AA82" s="7" t="s">
        <v>56</v>
      </c>
      <c r="AB82" s="7" t="s">
        <v>93</v>
      </c>
      <c r="AC82" s="7" t="s">
        <v>56</v>
      </c>
      <c r="AD82" s="7" t="s">
        <v>56</v>
      </c>
      <c r="AE82" s="7" t="s">
        <v>56</v>
      </c>
      <c r="AF82" s="7" t="s">
        <v>56</v>
      </c>
      <c r="AG82" s="7" t="s">
        <v>56</v>
      </c>
      <c r="AH82" s="7">
        <v>10282</v>
      </c>
      <c r="AI82" s="10" t="s">
        <v>59</v>
      </c>
      <c r="AJ82" s="7" t="s">
        <v>428</v>
      </c>
      <c r="AK82" s="7"/>
      <c r="AL82" s="7"/>
      <c r="AM82" s="7"/>
      <c r="AN82" s="7" t="s">
        <v>429</v>
      </c>
      <c r="AO82" s="7" t="b">
        <v>1</v>
      </c>
      <c r="AP82" s="7">
        <v>1</v>
      </c>
      <c r="AQ82" s="7">
        <v>1</v>
      </c>
      <c r="AR82" s="10" t="s">
        <v>62</v>
      </c>
    </row>
    <row r="83">
      <c r="A83" s="7">
        <v>81</v>
      </c>
      <c r="B83" s="7" t="s">
        <v>430</v>
      </c>
      <c r="C83" s="8" t="s">
        <v>46</v>
      </c>
      <c r="D83" s="7" t="s">
        <v>47</v>
      </c>
      <c r="E83" s="9">
        <v>1.06</v>
      </c>
      <c r="F83" s="7" t="s">
        <v>188</v>
      </c>
      <c r="G83" s="7" t="s">
        <v>91</v>
      </c>
      <c r="H83" s="7" t="s">
        <v>50</v>
      </c>
      <c r="I83" s="7" t="s">
        <v>50</v>
      </c>
      <c r="J83" s="9" t="s">
        <v>50</v>
      </c>
      <c r="K83" s="9" t="s">
        <v>51</v>
      </c>
      <c r="L83" s="9">
        <v>45.72</v>
      </c>
      <c r="M83" s="9">
        <v>9700</v>
      </c>
      <c r="N83" s="7">
        <v>5265.16</v>
      </c>
      <c r="O83" s="9">
        <f>M83*(100-L83)/100*E83</f>
      </c>
      <c r="P83" s="7" t="s">
        <v>52</v>
      </c>
      <c r="Q83" s="7">
        <v>6.5</v>
      </c>
      <c r="R83" s="9">
        <v>6.46</v>
      </c>
      <c r="S83" s="7">
        <v>4.02</v>
      </c>
      <c r="T83" s="7" t="s">
        <v>431</v>
      </c>
      <c r="U83" s="7">
        <v>1.006</v>
      </c>
      <c r="V83" s="7">
        <v>62.1</v>
      </c>
      <c r="W83" s="7">
        <v>58</v>
      </c>
      <c r="X83" s="7" t="s">
        <v>54</v>
      </c>
      <c r="Y83" s="7" t="s">
        <v>55</v>
      </c>
      <c r="Z83" s="7" t="s">
        <v>56</v>
      </c>
      <c r="AA83" s="7" t="s">
        <v>56</v>
      </c>
      <c r="AB83" s="7" t="s">
        <v>78</v>
      </c>
      <c r="AC83" s="10" t="s">
        <v>105</v>
      </c>
      <c r="AD83" s="7" t="s">
        <v>56</v>
      </c>
      <c r="AE83" s="7" t="s">
        <v>56</v>
      </c>
      <c r="AF83" s="7" t="s">
        <v>56</v>
      </c>
      <c r="AG83" s="7" t="s">
        <v>56</v>
      </c>
      <c r="AH83" s="7">
        <v>10282</v>
      </c>
      <c r="AI83" s="10" t="s">
        <v>59</v>
      </c>
      <c r="AJ83" s="7" t="s">
        <v>432</v>
      </c>
      <c r="AK83" s="7"/>
      <c r="AL83" s="7"/>
      <c r="AM83" s="7"/>
      <c r="AN83" s="7" t="s">
        <v>433</v>
      </c>
      <c r="AO83" s="7" t="b">
        <v>1</v>
      </c>
      <c r="AP83" s="7">
        <v>1</v>
      </c>
      <c r="AQ83" s="7">
        <v>1</v>
      </c>
      <c r="AR83" s="10" t="s">
        <v>62</v>
      </c>
    </row>
    <row r="84">
      <c r="A84" s="7">
        <v>82</v>
      </c>
      <c r="B84" s="7" t="s">
        <v>434</v>
      </c>
      <c r="C84" s="8" t="s">
        <v>46</v>
      </c>
      <c r="D84" s="7" t="s">
        <v>47</v>
      </c>
      <c r="E84" s="9">
        <v>1.06</v>
      </c>
      <c r="F84" s="7" t="s">
        <v>188</v>
      </c>
      <c r="G84" s="7" t="s">
        <v>91</v>
      </c>
      <c r="H84" s="7" t="s">
        <v>50</v>
      </c>
      <c r="I84" s="7" t="s">
        <v>50</v>
      </c>
      <c r="J84" s="9" t="s">
        <v>50</v>
      </c>
      <c r="K84" s="9" t="s">
        <v>51</v>
      </c>
      <c r="L84" s="9">
        <v>40.58</v>
      </c>
      <c r="M84" s="9">
        <v>9700</v>
      </c>
      <c r="N84" s="7">
        <v>5763.74</v>
      </c>
      <c r="O84" s="9">
        <f>M84*(100-L84)/100*E84</f>
      </c>
      <c r="P84" s="7" t="s">
        <v>52</v>
      </c>
      <c r="Q84" s="7">
        <v>6.51</v>
      </c>
      <c r="R84" s="9">
        <v>6.47</v>
      </c>
      <c r="S84" s="7">
        <v>4.05</v>
      </c>
      <c r="T84" s="7" t="s">
        <v>435</v>
      </c>
      <c r="U84" s="7">
        <v>1.006</v>
      </c>
      <c r="V84" s="7">
        <v>62.4</v>
      </c>
      <c r="W84" s="7">
        <v>60</v>
      </c>
      <c r="X84" s="7" t="s">
        <v>54</v>
      </c>
      <c r="Y84" s="7" t="s">
        <v>55</v>
      </c>
      <c r="Z84" s="7" t="s">
        <v>56</v>
      </c>
      <c r="AA84" s="7" t="s">
        <v>56</v>
      </c>
      <c r="AB84" s="7" t="s">
        <v>93</v>
      </c>
      <c r="AC84" s="7" t="s">
        <v>56</v>
      </c>
      <c r="AD84" s="7" t="s">
        <v>56</v>
      </c>
      <c r="AE84" s="7" t="s">
        <v>56</v>
      </c>
      <c r="AF84" s="7" t="s">
        <v>56</v>
      </c>
      <c r="AG84" s="7" t="s">
        <v>56</v>
      </c>
      <c r="AH84" s="7">
        <v>10282</v>
      </c>
      <c r="AI84" s="10" t="s">
        <v>59</v>
      </c>
      <c r="AJ84" s="7" t="s">
        <v>436</v>
      </c>
      <c r="AK84" s="7"/>
      <c r="AL84" s="7"/>
      <c r="AM84" s="7"/>
      <c r="AN84" s="7" t="s">
        <v>437</v>
      </c>
      <c r="AO84" s="7" t="b">
        <v>1</v>
      </c>
      <c r="AP84" s="7">
        <v>1</v>
      </c>
      <c r="AQ84" s="7">
        <v>1</v>
      </c>
      <c r="AR84" s="10" t="s">
        <v>62</v>
      </c>
    </row>
    <row r="85">
      <c r="A85" s="7">
        <v>83</v>
      </c>
      <c r="B85" s="7" t="s">
        <v>438</v>
      </c>
      <c r="C85" s="8" t="s">
        <v>46</v>
      </c>
      <c r="D85" s="7" t="s">
        <v>47</v>
      </c>
      <c r="E85" s="9">
        <v>1.06</v>
      </c>
      <c r="F85" s="7" t="s">
        <v>188</v>
      </c>
      <c r="G85" s="7" t="s">
        <v>91</v>
      </c>
      <c r="H85" s="7" t="s">
        <v>50</v>
      </c>
      <c r="I85" s="7" t="s">
        <v>50</v>
      </c>
      <c r="J85" s="9" t="s">
        <v>50</v>
      </c>
      <c r="K85" s="9" t="s">
        <v>51</v>
      </c>
      <c r="L85" s="9">
        <v>40.58</v>
      </c>
      <c r="M85" s="9">
        <v>9700</v>
      </c>
      <c r="N85" s="7">
        <v>5763.74</v>
      </c>
      <c r="O85" s="9">
        <f>M85*(100-L85)/100*E85</f>
      </c>
      <c r="P85" s="7" t="s">
        <v>52</v>
      </c>
      <c r="Q85" s="7">
        <v>6.59</v>
      </c>
      <c r="R85" s="9">
        <v>6.55</v>
      </c>
      <c r="S85" s="7">
        <v>4.02</v>
      </c>
      <c r="T85" s="7" t="s">
        <v>439</v>
      </c>
      <c r="U85" s="7">
        <v>1.006</v>
      </c>
      <c r="V85" s="7">
        <v>61.2</v>
      </c>
      <c r="W85" s="7">
        <v>60</v>
      </c>
      <c r="X85" s="7" t="s">
        <v>54</v>
      </c>
      <c r="Y85" s="7" t="s">
        <v>55</v>
      </c>
      <c r="Z85" s="7" t="s">
        <v>56</v>
      </c>
      <c r="AA85" s="7" t="s">
        <v>56</v>
      </c>
      <c r="AB85" s="7" t="s">
        <v>170</v>
      </c>
      <c r="AC85" s="7" t="s">
        <v>56</v>
      </c>
      <c r="AD85" s="7" t="s">
        <v>56</v>
      </c>
      <c r="AE85" s="7" t="s">
        <v>56</v>
      </c>
      <c r="AF85" s="7" t="s">
        <v>56</v>
      </c>
      <c r="AG85" s="7" t="s">
        <v>56</v>
      </c>
      <c r="AH85" s="7">
        <v>10282</v>
      </c>
      <c r="AI85" s="10" t="s">
        <v>59</v>
      </c>
      <c r="AJ85" s="7" t="s">
        <v>440</v>
      </c>
      <c r="AK85" s="7"/>
      <c r="AL85" s="7"/>
      <c r="AM85" s="7"/>
      <c r="AN85" s="7" t="s">
        <v>441</v>
      </c>
      <c r="AO85" s="7" t="b">
        <v>1</v>
      </c>
      <c r="AP85" s="7">
        <v>1</v>
      </c>
      <c r="AQ85" s="7">
        <v>1</v>
      </c>
      <c r="AR85" s="10" t="s">
        <v>62</v>
      </c>
    </row>
    <row r="86">
      <c r="A86" s="7">
        <v>84</v>
      </c>
      <c r="B86" s="7" t="s">
        <v>442</v>
      </c>
      <c r="C86" s="8" t="s">
        <v>46</v>
      </c>
      <c r="D86" s="7" t="s">
        <v>47</v>
      </c>
      <c r="E86" s="9">
        <v>1.06</v>
      </c>
      <c r="F86" s="7" t="s">
        <v>188</v>
      </c>
      <c r="G86" s="7" t="s">
        <v>91</v>
      </c>
      <c r="H86" s="7" t="s">
        <v>50</v>
      </c>
      <c r="I86" s="7" t="s">
        <v>50</v>
      </c>
      <c r="J86" s="9" t="s">
        <v>50</v>
      </c>
      <c r="K86" s="9" t="s">
        <v>51</v>
      </c>
      <c r="L86" s="9">
        <v>43.67</v>
      </c>
      <c r="M86" s="9">
        <v>9700</v>
      </c>
      <c r="N86" s="7">
        <v>5464.01</v>
      </c>
      <c r="O86" s="9">
        <f>M86*(100-L86)/100*E86</f>
      </c>
      <c r="P86" s="7" t="s">
        <v>52</v>
      </c>
      <c r="Q86" s="7">
        <v>6.49</v>
      </c>
      <c r="R86" s="9">
        <v>6.45</v>
      </c>
      <c r="S86" s="7">
        <v>4.04</v>
      </c>
      <c r="T86" s="7" t="s">
        <v>443</v>
      </c>
      <c r="U86" s="7">
        <v>1.006</v>
      </c>
      <c r="V86" s="7">
        <v>62.5</v>
      </c>
      <c r="W86" s="7">
        <v>59</v>
      </c>
      <c r="X86" s="7" t="s">
        <v>54</v>
      </c>
      <c r="Y86" s="7" t="s">
        <v>55</v>
      </c>
      <c r="Z86" s="7" t="s">
        <v>56</v>
      </c>
      <c r="AA86" s="7" t="s">
        <v>56</v>
      </c>
      <c r="AB86" s="7" t="s">
        <v>78</v>
      </c>
      <c r="AC86" s="10" t="s">
        <v>105</v>
      </c>
      <c r="AD86" s="7" t="s">
        <v>56</v>
      </c>
      <c r="AE86" s="7" t="s">
        <v>56</v>
      </c>
      <c r="AF86" s="7" t="s">
        <v>56</v>
      </c>
      <c r="AG86" s="7" t="s">
        <v>56</v>
      </c>
      <c r="AH86" s="7">
        <v>10282</v>
      </c>
      <c r="AI86" s="10" t="s">
        <v>59</v>
      </c>
      <c r="AJ86" s="7" t="s">
        <v>444</v>
      </c>
      <c r="AK86" s="7"/>
      <c r="AL86" s="7"/>
      <c r="AM86" s="7"/>
      <c r="AN86" s="7" t="s">
        <v>445</v>
      </c>
      <c r="AO86" s="7" t="b">
        <v>1</v>
      </c>
      <c r="AP86" s="7">
        <v>1</v>
      </c>
      <c r="AQ86" s="7">
        <v>1</v>
      </c>
      <c r="AR86" s="10" t="s">
        <v>62</v>
      </c>
    </row>
    <row r="87">
      <c r="A87" s="7">
        <v>85</v>
      </c>
      <c r="B87" s="7" t="s">
        <v>446</v>
      </c>
      <c r="C87" s="8" t="s">
        <v>46</v>
      </c>
      <c r="D87" s="7" t="s">
        <v>47</v>
      </c>
      <c r="E87" s="9">
        <v>1.05</v>
      </c>
      <c r="F87" s="7" t="s">
        <v>86</v>
      </c>
      <c r="G87" s="7" t="s">
        <v>120</v>
      </c>
      <c r="H87" s="7" t="s">
        <v>50</v>
      </c>
      <c r="I87" s="7" t="s">
        <v>50</v>
      </c>
      <c r="J87" s="9" t="s">
        <v>50</v>
      </c>
      <c r="K87" s="9" t="s">
        <v>51</v>
      </c>
      <c r="L87" s="9">
        <v>42.12</v>
      </c>
      <c r="M87" s="9">
        <v>8300</v>
      </c>
      <c r="N87" s="7">
        <v>4804.04</v>
      </c>
      <c r="O87" s="9">
        <f>M87*(100-L87)/100*E87</f>
      </c>
      <c r="P87" s="7" t="s">
        <v>52</v>
      </c>
      <c r="Q87" s="7">
        <v>6.48</v>
      </c>
      <c r="R87" s="9">
        <v>6.45</v>
      </c>
      <c r="S87" s="7">
        <v>4.05</v>
      </c>
      <c r="T87" s="7" t="s">
        <v>447</v>
      </c>
      <c r="U87" s="7">
        <v>1.005</v>
      </c>
      <c r="V87" s="7">
        <v>62.6</v>
      </c>
      <c r="W87" s="7">
        <v>58</v>
      </c>
      <c r="X87" s="7" t="s">
        <v>302</v>
      </c>
      <c r="Y87" s="7" t="s">
        <v>302</v>
      </c>
      <c r="Z87" s="7" t="s">
        <v>302</v>
      </c>
      <c r="AA87" s="7" t="s">
        <v>302</v>
      </c>
      <c r="AB87" s="7" t="s">
        <v>448</v>
      </c>
      <c r="AC87" s="7" t="s">
        <v>302</v>
      </c>
      <c r="AD87" s="7" t="s">
        <v>302</v>
      </c>
      <c r="AE87" s="7" t="s">
        <v>302</v>
      </c>
      <c r="AF87" s="7" t="s">
        <v>302</v>
      </c>
      <c r="AG87" s="7" t="s">
        <v>302</v>
      </c>
      <c r="AH87" s="7">
        <v>8715</v>
      </c>
      <c r="AI87" s="7"/>
      <c r="AJ87" s="7" t="s">
        <v>449</v>
      </c>
      <c r="AK87" s="7"/>
      <c r="AL87" s="7"/>
      <c r="AM87" s="7"/>
      <c r="AN87" s="7" t="s">
        <v>450</v>
      </c>
      <c r="AO87" s="7" t="b">
        <v>1</v>
      </c>
      <c r="AP87" s="7">
        <v>0</v>
      </c>
      <c r="AQ87" s="7">
        <v>0</v>
      </c>
      <c r="AR87" s="10" t="s">
        <v>62</v>
      </c>
    </row>
    <row r="88">
      <c r="A88" s="7">
        <v>86</v>
      </c>
      <c r="B88" s="7" t="s">
        <v>451</v>
      </c>
      <c r="C88" s="8" t="s">
        <v>46</v>
      </c>
      <c r="D88" s="7" t="s">
        <v>47</v>
      </c>
      <c r="E88" s="9">
        <v>1.05</v>
      </c>
      <c r="F88" s="7" t="s">
        <v>86</v>
      </c>
      <c r="G88" s="7" t="s">
        <v>91</v>
      </c>
      <c r="H88" s="7" t="s">
        <v>50</v>
      </c>
      <c r="I88" s="7" t="s">
        <v>50</v>
      </c>
      <c r="J88" s="9" t="s">
        <v>50</v>
      </c>
      <c r="K88" s="9" t="s">
        <v>51</v>
      </c>
      <c r="L88" s="9">
        <v>44.18</v>
      </c>
      <c r="M88" s="9">
        <v>12800</v>
      </c>
      <c r="N88" s="7">
        <v>7144.96</v>
      </c>
      <c r="O88" s="9">
        <f>M88*(100-L88)/100*E88</f>
      </c>
      <c r="P88" s="7" t="s">
        <v>52</v>
      </c>
      <c r="Q88" s="7">
        <v>6.48</v>
      </c>
      <c r="R88" s="9">
        <v>6.44</v>
      </c>
      <c r="S88" s="7">
        <v>4.04</v>
      </c>
      <c r="T88" s="7" t="s">
        <v>452</v>
      </c>
      <c r="U88" s="7">
        <v>1.006</v>
      </c>
      <c r="V88" s="7">
        <v>62.6</v>
      </c>
      <c r="W88" s="7">
        <v>59</v>
      </c>
      <c r="X88" s="7" t="s">
        <v>54</v>
      </c>
      <c r="Y88" s="7" t="s">
        <v>55</v>
      </c>
      <c r="Z88" s="7" t="s">
        <v>56</v>
      </c>
      <c r="AA88" s="7" t="s">
        <v>56</v>
      </c>
      <c r="AB88" s="7" t="s">
        <v>93</v>
      </c>
      <c r="AC88" s="7" t="s">
        <v>56</v>
      </c>
      <c r="AD88" s="7" t="s">
        <v>56</v>
      </c>
      <c r="AE88" s="7" t="s">
        <v>56</v>
      </c>
      <c r="AF88" s="7" t="s">
        <v>56</v>
      </c>
      <c r="AG88" s="7" t="s">
        <v>56</v>
      </c>
      <c r="AH88" s="7">
        <v>13440</v>
      </c>
      <c r="AI88" s="10" t="s">
        <v>59</v>
      </c>
      <c r="AJ88" s="7" t="s">
        <v>453</v>
      </c>
      <c r="AK88" s="7"/>
      <c r="AL88" s="7"/>
      <c r="AM88" s="7"/>
      <c r="AN88" s="7" t="s">
        <v>454</v>
      </c>
      <c r="AO88" s="7" t="b">
        <v>1</v>
      </c>
      <c r="AP88" s="7">
        <v>1</v>
      </c>
      <c r="AQ88" s="7">
        <v>1</v>
      </c>
      <c r="AR88" s="10" t="s">
        <v>62</v>
      </c>
    </row>
    <row r="89">
      <c r="A89" s="7">
        <v>87</v>
      </c>
      <c r="B89" s="7" t="s">
        <v>455</v>
      </c>
      <c r="C89" s="8" t="s">
        <v>46</v>
      </c>
      <c r="D89" s="7" t="s">
        <v>47</v>
      </c>
      <c r="E89" s="9">
        <v>1.05</v>
      </c>
      <c r="F89" s="7" t="s">
        <v>86</v>
      </c>
      <c r="G89" s="7" t="s">
        <v>70</v>
      </c>
      <c r="H89" s="7" t="s">
        <v>50</v>
      </c>
      <c r="I89" s="7" t="s">
        <v>50</v>
      </c>
      <c r="J89" s="9" t="s">
        <v>50</v>
      </c>
      <c r="K89" s="9" t="s">
        <v>51</v>
      </c>
      <c r="L89" s="9">
        <v>42.64</v>
      </c>
      <c r="M89" s="9">
        <v>9700</v>
      </c>
      <c r="N89" s="7">
        <v>5563.92</v>
      </c>
      <c r="O89" s="9">
        <f>M89*(100-L89)/100*E89</f>
      </c>
      <c r="P89" s="7" t="s">
        <v>52</v>
      </c>
      <c r="Q89" s="7">
        <v>6.56</v>
      </c>
      <c r="R89" s="9">
        <v>6.54</v>
      </c>
      <c r="S89" s="7">
        <v>4.03</v>
      </c>
      <c r="T89" s="7" t="s">
        <v>456</v>
      </c>
      <c r="U89" s="7">
        <v>1.003</v>
      </c>
      <c r="V89" s="7">
        <v>61.5</v>
      </c>
      <c r="W89" s="7">
        <v>59</v>
      </c>
      <c r="X89" s="7" t="s">
        <v>54</v>
      </c>
      <c r="Y89" s="7" t="s">
        <v>55</v>
      </c>
      <c r="Z89" s="7" t="s">
        <v>56</v>
      </c>
      <c r="AA89" s="7" t="s">
        <v>56</v>
      </c>
      <c r="AB89" s="7" t="s">
        <v>457</v>
      </c>
      <c r="AC89" s="7" t="s">
        <v>56</v>
      </c>
      <c r="AD89" s="7" t="s">
        <v>56</v>
      </c>
      <c r="AE89" s="7" t="s">
        <v>56</v>
      </c>
      <c r="AF89" s="7" t="s">
        <v>56</v>
      </c>
      <c r="AG89" s="7" t="s">
        <v>56</v>
      </c>
      <c r="AH89" s="7">
        <v>10185</v>
      </c>
      <c r="AI89" s="10" t="s">
        <v>59</v>
      </c>
      <c r="AJ89" s="7" t="s">
        <v>458</v>
      </c>
      <c r="AK89" s="7"/>
      <c r="AL89" s="7"/>
      <c r="AM89" s="7"/>
      <c r="AN89" s="7" t="s">
        <v>459</v>
      </c>
      <c r="AO89" s="7" t="b">
        <v>1</v>
      </c>
      <c r="AP89" s="7">
        <v>1</v>
      </c>
      <c r="AQ89" s="7">
        <v>1</v>
      </c>
      <c r="AR89" s="10" t="s">
        <v>62</v>
      </c>
    </row>
    <row r="90">
      <c r="A90" s="7">
        <v>88</v>
      </c>
      <c r="B90" s="7" t="s">
        <v>460</v>
      </c>
      <c r="C90" s="8" t="s">
        <v>46</v>
      </c>
      <c r="D90" s="7" t="s">
        <v>47</v>
      </c>
      <c r="E90" s="9">
        <v>1.05</v>
      </c>
      <c r="F90" s="7" t="s">
        <v>119</v>
      </c>
      <c r="G90" s="7" t="s">
        <v>91</v>
      </c>
      <c r="H90" s="7" t="s">
        <v>50</v>
      </c>
      <c r="I90" s="7" t="s">
        <v>50</v>
      </c>
      <c r="J90" s="9" t="s">
        <v>50</v>
      </c>
      <c r="K90" s="9" t="s">
        <v>51</v>
      </c>
      <c r="L90" s="9">
        <v>45.21</v>
      </c>
      <c r="M90" s="9">
        <v>11100</v>
      </c>
      <c r="N90" s="7">
        <v>6081.69</v>
      </c>
      <c r="O90" s="9">
        <f>M90*(100-L90)/100*E90</f>
      </c>
      <c r="P90" s="7" t="s">
        <v>52</v>
      </c>
      <c r="Q90" s="7">
        <v>6.5</v>
      </c>
      <c r="R90" s="9">
        <v>6.47</v>
      </c>
      <c r="S90" s="7">
        <v>4.04</v>
      </c>
      <c r="T90" s="7" t="s">
        <v>461</v>
      </c>
      <c r="U90" s="7">
        <v>1.005</v>
      </c>
      <c r="V90" s="7">
        <v>62.2</v>
      </c>
      <c r="W90" s="7">
        <v>60</v>
      </c>
      <c r="X90" s="7" t="s">
        <v>54</v>
      </c>
      <c r="Y90" s="7" t="s">
        <v>55</v>
      </c>
      <c r="Z90" s="7" t="s">
        <v>56</v>
      </c>
      <c r="AA90" s="7" t="s">
        <v>56</v>
      </c>
      <c r="AB90" s="7" t="s">
        <v>78</v>
      </c>
      <c r="AC90" s="7" t="s">
        <v>56</v>
      </c>
      <c r="AD90" s="7" t="s">
        <v>56</v>
      </c>
      <c r="AE90" s="7" t="s">
        <v>56</v>
      </c>
      <c r="AF90" s="7" t="s">
        <v>56</v>
      </c>
      <c r="AG90" s="7" t="s">
        <v>56</v>
      </c>
      <c r="AH90" s="7">
        <v>11655</v>
      </c>
      <c r="AI90" s="10" t="s">
        <v>59</v>
      </c>
      <c r="AJ90" s="7" t="s">
        <v>462</v>
      </c>
      <c r="AK90" s="7"/>
      <c r="AL90" s="7"/>
      <c r="AM90" s="7"/>
      <c r="AN90" s="7" t="s">
        <v>463</v>
      </c>
      <c r="AO90" s="7" t="b">
        <v>1</v>
      </c>
      <c r="AP90" s="7">
        <v>1</v>
      </c>
      <c r="AQ90" s="7">
        <v>1</v>
      </c>
      <c r="AR90" s="10" t="s">
        <v>62</v>
      </c>
    </row>
    <row r="91">
      <c r="A91" s="7">
        <v>89</v>
      </c>
      <c r="B91" s="7" t="s">
        <v>464</v>
      </c>
      <c r="C91" s="8" t="s">
        <v>46</v>
      </c>
      <c r="D91" s="7" t="s">
        <v>47</v>
      </c>
      <c r="E91" s="9">
        <v>1.04</v>
      </c>
      <c r="F91" s="7" t="s">
        <v>86</v>
      </c>
      <c r="G91" s="7" t="s">
        <v>70</v>
      </c>
      <c r="H91" s="7" t="s">
        <v>50</v>
      </c>
      <c r="I91" s="7" t="s">
        <v>50</v>
      </c>
      <c r="J91" s="9" t="s">
        <v>50</v>
      </c>
      <c r="K91" s="9" t="s">
        <v>51</v>
      </c>
      <c r="L91" s="9">
        <v>42.38</v>
      </c>
      <c r="M91" s="9">
        <v>9700</v>
      </c>
      <c r="N91" s="7">
        <v>5589.14</v>
      </c>
      <c r="O91" s="9">
        <f>M91*(100-L91)/100*E91</f>
      </c>
      <c r="P91" s="7" t="s">
        <v>52</v>
      </c>
      <c r="Q91" s="7">
        <v>6.48</v>
      </c>
      <c r="R91" s="9">
        <v>6.44</v>
      </c>
      <c r="S91" s="7">
        <v>4.03</v>
      </c>
      <c r="T91" s="7" t="s">
        <v>465</v>
      </c>
      <c r="U91" s="7">
        <v>1.006</v>
      </c>
      <c r="V91" s="7">
        <v>62.3</v>
      </c>
      <c r="W91" s="7">
        <v>58</v>
      </c>
      <c r="X91" s="7" t="s">
        <v>54</v>
      </c>
      <c r="Y91" s="7" t="s">
        <v>55</v>
      </c>
      <c r="Z91" s="7" t="s">
        <v>56</v>
      </c>
      <c r="AA91" s="7" t="s">
        <v>56</v>
      </c>
      <c r="AB91" s="7" t="s">
        <v>110</v>
      </c>
      <c r="AC91" s="10" t="s">
        <v>56</v>
      </c>
      <c r="AD91" s="7" t="s">
        <v>56</v>
      </c>
      <c r="AE91" s="7" t="s">
        <v>56</v>
      </c>
      <c r="AF91" s="7" t="s">
        <v>56</v>
      </c>
      <c r="AG91" s="7" t="s">
        <v>56</v>
      </c>
      <c r="AH91" s="7">
        <v>10088</v>
      </c>
      <c r="AI91" s="10" t="s">
        <v>59</v>
      </c>
      <c r="AJ91" s="7" t="s">
        <v>466</v>
      </c>
      <c r="AK91" s="7"/>
      <c r="AL91" s="7"/>
      <c r="AM91" s="7"/>
      <c r="AN91" s="7" t="s">
        <v>467</v>
      </c>
      <c r="AO91" s="7" t="b">
        <v>1</v>
      </c>
      <c r="AP91" s="7">
        <v>1</v>
      </c>
      <c r="AQ91" s="7">
        <v>1</v>
      </c>
      <c r="AR91" s="10" t="s">
        <v>62</v>
      </c>
    </row>
    <row r="92">
      <c r="A92" s="7">
        <v>90</v>
      </c>
      <c r="B92" s="7" t="s">
        <v>468</v>
      </c>
      <c r="C92" s="8" t="s">
        <v>46</v>
      </c>
      <c r="D92" s="7" t="s">
        <v>47</v>
      </c>
      <c r="E92" s="9">
        <v>1.04</v>
      </c>
      <c r="F92" s="7" t="s">
        <v>136</v>
      </c>
      <c r="G92" s="7" t="s">
        <v>91</v>
      </c>
      <c r="H92" s="7" t="s">
        <v>50</v>
      </c>
      <c r="I92" s="7" t="s">
        <v>50</v>
      </c>
      <c r="J92" s="9" t="s">
        <v>50</v>
      </c>
      <c r="K92" s="9" t="s">
        <v>51</v>
      </c>
      <c r="L92" s="9">
        <v>44.44</v>
      </c>
      <c r="M92" s="9">
        <v>11100</v>
      </c>
      <c r="N92" s="7">
        <v>6167.16</v>
      </c>
      <c r="O92" s="9">
        <f>M92*(100-L92)/100*E92</f>
      </c>
      <c r="P92" s="7" t="s">
        <v>52</v>
      </c>
      <c r="Q92" s="7">
        <v>6.46</v>
      </c>
      <c r="R92" s="9">
        <v>6.41</v>
      </c>
      <c r="S92" s="7">
        <v>4.01</v>
      </c>
      <c r="T92" s="7" t="s">
        <v>469</v>
      </c>
      <c r="U92" s="7">
        <v>1.008</v>
      </c>
      <c r="V92" s="7">
        <v>62.4</v>
      </c>
      <c r="W92" s="7">
        <v>58</v>
      </c>
      <c r="X92" s="7" t="s">
        <v>54</v>
      </c>
      <c r="Y92" s="7" t="s">
        <v>55</v>
      </c>
      <c r="Z92" s="7" t="s">
        <v>56</v>
      </c>
      <c r="AA92" s="7" t="s">
        <v>56</v>
      </c>
      <c r="AB92" s="7" t="s">
        <v>78</v>
      </c>
      <c r="AC92" s="10" t="s">
        <v>50</v>
      </c>
      <c r="AD92" s="7" t="s">
        <v>56</v>
      </c>
      <c r="AE92" s="7" t="s">
        <v>56</v>
      </c>
      <c r="AF92" s="7" t="s">
        <v>56</v>
      </c>
      <c r="AG92" s="7" t="s">
        <v>56</v>
      </c>
      <c r="AH92" s="7">
        <v>11544</v>
      </c>
      <c r="AI92" s="10" t="s">
        <v>59</v>
      </c>
      <c r="AJ92" s="7" t="s">
        <v>470</v>
      </c>
      <c r="AK92" s="7"/>
      <c r="AL92" s="7"/>
      <c r="AM92" s="7"/>
      <c r="AN92" s="7" t="s">
        <v>471</v>
      </c>
      <c r="AO92" s="7" t="b">
        <v>1</v>
      </c>
      <c r="AP92" s="7">
        <v>1</v>
      </c>
      <c r="AQ92" s="7">
        <v>1</v>
      </c>
      <c r="AR92" s="10" t="s">
        <v>62</v>
      </c>
    </row>
    <row r="93">
      <c r="A93" s="7">
        <v>91</v>
      </c>
      <c r="B93" s="7" t="s">
        <v>472</v>
      </c>
      <c r="C93" s="8" t="s">
        <v>46</v>
      </c>
      <c r="D93" s="7" t="s">
        <v>47</v>
      </c>
      <c r="E93" s="9">
        <v>1.03</v>
      </c>
      <c r="F93" s="7" t="s">
        <v>86</v>
      </c>
      <c r="G93" s="7" t="s">
        <v>120</v>
      </c>
      <c r="H93" s="7" t="s">
        <v>50</v>
      </c>
      <c r="I93" s="7" t="s">
        <v>50</v>
      </c>
      <c r="J93" s="9" t="s">
        <v>50</v>
      </c>
      <c r="K93" s="9" t="s">
        <v>51</v>
      </c>
      <c r="L93" s="9">
        <v>43.41</v>
      </c>
      <c r="M93" s="9">
        <v>8300</v>
      </c>
      <c r="N93" s="7">
        <v>4696.97</v>
      </c>
      <c r="O93" s="9">
        <f>M93*(100-L93)/100*E93</f>
      </c>
      <c r="P93" s="7" t="s">
        <v>52</v>
      </c>
      <c r="Q93" s="7">
        <v>6.45</v>
      </c>
      <c r="R93" s="9">
        <v>6.42</v>
      </c>
      <c r="S93" s="7">
        <v>4</v>
      </c>
      <c r="T93" s="7" t="s">
        <v>473</v>
      </c>
      <c r="U93" s="7">
        <v>1.005</v>
      </c>
      <c r="V93" s="7">
        <v>62.1</v>
      </c>
      <c r="W93" s="7">
        <v>59</v>
      </c>
      <c r="X93" s="7" t="s">
        <v>54</v>
      </c>
      <c r="Y93" s="7" t="s">
        <v>55</v>
      </c>
      <c r="Z93" s="7" t="s">
        <v>56</v>
      </c>
      <c r="AA93" s="7" t="s">
        <v>57</v>
      </c>
      <c r="AB93" s="7" t="s">
        <v>58</v>
      </c>
      <c r="AC93" s="10" t="s">
        <v>73</v>
      </c>
      <c r="AD93" s="7" t="s">
        <v>56</v>
      </c>
      <c r="AE93" s="7" t="s">
        <v>56</v>
      </c>
      <c r="AF93" s="7" t="s">
        <v>56</v>
      </c>
      <c r="AG93" s="7" t="s">
        <v>56</v>
      </c>
      <c r="AH93" s="7">
        <v>8549</v>
      </c>
      <c r="AI93" s="10" t="s">
        <v>59</v>
      </c>
      <c r="AJ93" s="7" t="s">
        <v>474</v>
      </c>
      <c r="AK93" s="7"/>
      <c r="AL93" s="7"/>
      <c r="AM93" s="7"/>
      <c r="AN93" s="7" t="s">
        <v>475</v>
      </c>
      <c r="AO93" s="7" t="b">
        <v>1</v>
      </c>
      <c r="AP93" s="7">
        <v>1</v>
      </c>
      <c r="AQ93" s="7">
        <v>1</v>
      </c>
      <c r="AR93" s="10" t="s">
        <v>62</v>
      </c>
    </row>
    <row r="94">
      <c r="A94" s="7">
        <v>92</v>
      </c>
      <c r="B94" s="7" t="s">
        <v>476</v>
      </c>
      <c r="C94" s="8" t="s">
        <v>46</v>
      </c>
      <c r="D94" s="7" t="s">
        <v>47</v>
      </c>
      <c r="E94" s="9">
        <v>1.03</v>
      </c>
      <c r="F94" s="7" t="s">
        <v>86</v>
      </c>
      <c r="G94" s="7" t="s">
        <v>70</v>
      </c>
      <c r="H94" s="7" t="s">
        <v>50</v>
      </c>
      <c r="I94" s="7" t="s">
        <v>50</v>
      </c>
      <c r="J94" s="9" t="s">
        <v>50</v>
      </c>
      <c r="K94" s="9" t="s">
        <v>51</v>
      </c>
      <c r="L94" s="9">
        <v>43.41</v>
      </c>
      <c r="M94" s="9">
        <v>9700</v>
      </c>
      <c r="N94" s="7">
        <v>5489.23</v>
      </c>
      <c r="O94" s="9">
        <f>M94*(100-L94)/100*E94</f>
      </c>
      <c r="P94" s="7" t="s">
        <v>52</v>
      </c>
      <c r="Q94" s="7">
        <v>6.45</v>
      </c>
      <c r="R94" s="9">
        <v>6.42</v>
      </c>
      <c r="S94" s="7">
        <v>4.03</v>
      </c>
      <c r="T94" s="7" t="s">
        <v>477</v>
      </c>
      <c r="U94" s="7">
        <v>1.005</v>
      </c>
      <c r="V94" s="7">
        <v>62.6</v>
      </c>
      <c r="W94" s="7">
        <v>56</v>
      </c>
      <c r="X94" s="7" t="s">
        <v>54</v>
      </c>
      <c r="Y94" s="7" t="s">
        <v>55</v>
      </c>
      <c r="Z94" s="7" t="s">
        <v>56</v>
      </c>
      <c r="AA94" s="7" t="s">
        <v>56</v>
      </c>
      <c r="AB94" s="7" t="s">
        <v>330</v>
      </c>
      <c r="AC94" s="10" t="s">
        <v>105</v>
      </c>
      <c r="AD94" s="7" t="s">
        <v>56</v>
      </c>
      <c r="AE94" s="7" t="s">
        <v>56</v>
      </c>
      <c r="AF94" s="7" t="s">
        <v>56</v>
      </c>
      <c r="AG94" s="7" t="s">
        <v>56</v>
      </c>
      <c r="AH94" s="7">
        <v>9991</v>
      </c>
      <c r="AI94" s="10" t="s">
        <v>59</v>
      </c>
      <c r="AJ94" s="7" t="s">
        <v>478</v>
      </c>
      <c r="AK94" s="7"/>
      <c r="AL94" s="7"/>
      <c r="AM94" s="7"/>
      <c r="AN94" s="7" t="s">
        <v>479</v>
      </c>
      <c r="AO94" s="7" t="b">
        <v>1</v>
      </c>
      <c r="AP94" s="7">
        <v>1</v>
      </c>
      <c r="AQ94" s="7">
        <v>1</v>
      </c>
      <c r="AR94" s="10" t="s">
        <v>62</v>
      </c>
    </row>
    <row r="95">
      <c r="A95" s="7">
        <v>93</v>
      </c>
      <c r="B95" s="7" t="s">
        <v>480</v>
      </c>
      <c r="C95" s="8" t="s">
        <v>46</v>
      </c>
      <c r="D95" s="7" t="s">
        <v>47</v>
      </c>
      <c r="E95" s="9">
        <v>1.03</v>
      </c>
      <c r="F95" s="7" t="s">
        <v>136</v>
      </c>
      <c r="G95" s="7" t="s">
        <v>91</v>
      </c>
      <c r="H95" s="7" t="s">
        <v>50</v>
      </c>
      <c r="I95" s="7" t="s">
        <v>50</v>
      </c>
      <c r="J95" s="9" t="s">
        <v>50</v>
      </c>
      <c r="K95" s="9" t="s">
        <v>51</v>
      </c>
      <c r="L95" s="9">
        <v>45.47</v>
      </c>
      <c r="M95" s="9">
        <v>11100</v>
      </c>
      <c r="N95" s="7">
        <v>6052.83</v>
      </c>
      <c r="O95" s="9">
        <f>M95*(100-L95)/100*E95</f>
      </c>
      <c r="P95" s="7" t="s">
        <v>52</v>
      </c>
      <c r="Q95" s="7">
        <v>6.45</v>
      </c>
      <c r="R95" s="9">
        <v>6.41</v>
      </c>
      <c r="S95" s="7">
        <v>4.02</v>
      </c>
      <c r="T95" s="7" t="s">
        <v>481</v>
      </c>
      <c r="U95" s="7">
        <v>1.006</v>
      </c>
      <c r="V95" s="7">
        <v>62.6</v>
      </c>
      <c r="W95" s="7">
        <v>60</v>
      </c>
      <c r="X95" s="7" t="s">
        <v>54</v>
      </c>
      <c r="Y95" s="7" t="s">
        <v>55</v>
      </c>
      <c r="Z95" s="7" t="s">
        <v>56</v>
      </c>
      <c r="AA95" s="7" t="s">
        <v>56</v>
      </c>
      <c r="AB95" s="7" t="s">
        <v>78</v>
      </c>
      <c r="AC95" s="7" t="s">
        <v>56</v>
      </c>
      <c r="AD95" s="7" t="s">
        <v>56</v>
      </c>
      <c r="AE95" s="7" t="s">
        <v>56</v>
      </c>
      <c r="AF95" s="7" t="s">
        <v>56</v>
      </c>
      <c r="AG95" s="7" t="s">
        <v>56</v>
      </c>
      <c r="AH95" s="7">
        <v>11433</v>
      </c>
      <c r="AI95" s="10" t="s">
        <v>59</v>
      </c>
      <c r="AJ95" s="7" t="s">
        <v>482</v>
      </c>
      <c r="AK95" s="7"/>
      <c r="AL95" s="7"/>
      <c r="AM95" s="7"/>
      <c r="AN95" s="7" t="s">
        <v>483</v>
      </c>
      <c r="AO95" s="7" t="b">
        <v>1</v>
      </c>
      <c r="AP95" s="7">
        <v>1</v>
      </c>
      <c r="AQ95" s="7">
        <v>1</v>
      </c>
      <c r="AR95" s="10" t="s">
        <v>62</v>
      </c>
    </row>
    <row r="96">
      <c r="A96" s="7">
        <v>94</v>
      </c>
      <c r="B96" s="7" t="s">
        <v>484</v>
      </c>
      <c r="C96" s="8" t="s">
        <v>46</v>
      </c>
      <c r="D96" s="7" t="s">
        <v>47</v>
      </c>
      <c r="E96" s="9">
        <v>1.03</v>
      </c>
      <c r="F96" s="7" t="s">
        <v>136</v>
      </c>
      <c r="G96" s="7" t="s">
        <v>91</v>
      </c>
      <c r="H96" s="7" t="s">
        <v>50</v>
      </c>
      <c r="I96" s="7" t="s">
        <v>50</v>
      </c>
      <c r="J96" s="9" t="s">
        <v>50</v>
      </c>
      <c r="K96" s="9" t="s">
        <v>51</v>
      </c>
      <c r="L96" s="9">
        <v>43.15</v>
      </c>
      <c r="M96" s="9">
        <v>11100</v>
      </c>
      <c r="N96" s="7">
        <v>6310.35</v>
      </c>
      <c r="O96" s="9">
        <f>M96*(100-L96)/100*E96</f>
      </c>
      <c r="P96" s="7" t="s">
        <v>52</v>
      </c>
      <c r="Q96" s="7">
        <v>6.45</v>
      </c>
      <c r="R96" s="9">
        <v>6.42</v>
      </c>
      <c r="S96" s="7">
        <v>4.02</v>
      </c>
      <c r="T96" s="7" t="s">
        <v>485</v>
      </c>
      <c r="U96" s="7">
        <v>1.005</v>
      </c>
      <c r="V96" s="7">
        <v>62.6</v>
      </c>
      <c r="W96" s="7">
        <v>55</v>
      </c>
      <c r="X96" s="7" t="s">
        <v>54</v>
      </c>
      <c r="Y96" s="7" t="s">
        <v>55</v>
      </c>
      <c r="Z96" s="7" t="s">
        <v>56</v>
      </c>
      <c r="AA96" s="7" t="s">
        <v>56</v>
      </c>
      <c r="AB96" s="7" t="s">
        <v>393</v>
      </c>
      <c r="AC96" s="10" t="s">
        <v>105</v>
      </c>
      <c r="AD96" s="7" t="s">
        <v>56</v>
      </c>
      <c r="AE96" s="7" t="s">
        <v>56</v>
      </c>
      <c r="AF96" s="7" t="s">
        <v>56</v>
      </c>
      <c r="AG96" s="7" t="s">
        <v>56</v>
      </c>
      <c r="AH96" s="7">
        <v>11433</v>
      </c>
      <c r="AI96" s="10" t="s">
        <v>59</v>
      </c>
      <c r="AJ96" s="7" t="s">
        <v>486</v>
      </c>
      <c r="AK96" s="7"/>
      <c r="AL96" s="7"/>
      <c r="AM96" s="7"/>
      <c r="AN96" s="7" t="s">
        <v>487</v>
      </c>
      <c r="AO96" s="7" t="b">
        <v>1</v>
      </c>
      <c r="AP96" s="7">
        <v>1</v>
      </c>
      <c r="AQ96" s="7">
        <v>1</v>
      </c>
      <c r="AR96" s="10" t="s">
        <v>62</v>
      </c>
    </row>
    <row r="97">
      <c r="A97" s="7">
        <v>95</v>
      </c>
      <c r="B97" s="7" t="s">
        <v>488</v>
      </c>
      <c r="C97" s="8" t="s">
        <v>46</v>
      </c>
      <c r="D97" s="7" t="s">
        <v>47</v>
      </c>
      <c r="E97" s="9">
        <v>1.03</v>
      </c>
      <c r="F97" s="7" t="s">
        <v>136</v>
      </c>
      <c r="G97" s="7" t="s">
        <v>70</v>
      </c>
      <c r="H97" s="7" t="s">
        <v>50</v>
      </c>
      <c r="I97" s="7" t="s">
        <v>50</v>
      </c>
      <c r="J97" s="9" t="s">
        <v>50</v>
      </c>
      <c r="K97" s="9" t="s">
        <v>51</v>
      </c>
      <c r="L97" s="9">
        <v>43.41</v>
      </c>
      <c r="M97" s="9">
        <v>8800</v>
      </c>
      <c r="N97" s="7">
        <v>4979.92</v>
      </c>
      <c r="O97" s="9">
        <f>M97*(100-L97)/100*E97</f>
      </c>
      <c r="P97" s="7" t="s">
        <v>52</v>
      </c>
      <c r="Q97" s="7">
        <v>6.42</v>
      </c>
      <c r="R97" s="9">
        <v>6.38</v>
      </c>
      <c r="S97" s="7">
        <v>4.01</v>
      </c>
      <c r="T97" s="7" t="s">
        <v>489</v>
      </c>
      <c r="U97" s="7">
        <v>1.006</v>
      </c>
      <c r="V97" s="7">
        <v>62.7</v>
      </c>
      <c r="W97" s="7">
        <v>58</v>
      </c>
      <c r="X97" s="7" t="s">
        <v>54</v>
      </c>
      <c r="Y97" s="7" t="s">
        <v>55</v>
      </c>
      <c r="Z97" s="7" t="s">
        <v>56</v>
      </c>
      <c r="AA97" s="7" t="s">
        <v>56</v>
      </c>
      <c r="AB97" s="7" t="s">
        <v>78</v>
      </c>
      <c r="AC97" s="7" t="s">
        <v>56</v>
      </c>
      <c r="AD97" s="7" t="s">
        <v>56</v>
      </c>
      <c r="AE97" s="7" t="s">
        <v>56</v>
      </c>
      <c r="AF97" s="7" t="s">
        <v>56</v>
      </c>
      <c r="AG97" s="7" t="s">
        <v>56</v>
      </c>
      <c r="AH97" s="7">
        <v>9064</v>
      </c>
      <c r="AI97" s="10" t="s">
        <v>59</v>
      </c>
      <c r="AJ97" s="7" t="s">
        <v>490</v>
      </c>
      <c r="AK97" s="7"/>
      <c r="AL97" s="7"/>
      <c r="AM97" s="7"/>
      <c r="AN97" s="7" t="s">
        <v>491</v>
      </c>
      <c r="AO97" s="7" t="b">
        <v>1</v>
      </c>
      <c r="AP97" s="7">
        <v>1</v>
      </c>
      <c r="AQ97" s="7">
        <v>1</v>
      </c>
      <c r="AR97" s="10" t="s">
        <v>62</v>
      </c>
    </row>
    <row r="98">
      <c r="A98" s="7">
        <v>96</v>
      </c>
      <c r="B98" s="7" t="s">
        <v>492</v>
      </c>
      <c r="C98" s="8" t="s">
        <v>46</v>
      </c>
      <c r="D98" s="7" t="s">
        <v>47</v>
      </c>
      <c r="E98" s="9">
        <v>1.02</v>
      </c>
      <c r="F98" s="7" t="s">
        <v>48</v>
      </c>
      <c r="G98" s="7" t="s">
        <v>70</v>
      </c>
      <c r="H98" s="7" t="s">
        <v>50</v>
      </c>
      <c r="I98" s="7" t="s">
        <v>50</v>
      </c>
      <c r="J98" s="9" t="s">
        <v>50</v>
      </c>
      <c r="K98" s="9" t="s">
        <v>51</v>
      </c>
      <c r="L98" s="9">
        <v>41.87</v>
      </c>
      <c r="M98" s="9">
        <v>9700</v>
      </c>
      <c r="N98" s="7">
        <v>5638.61</v>
      </c>
      <c r="O98" s="9">
        <f>M98*(100-L98)/100*E98</f>
      </c>
      <c r="P98" s="7" t="s">
        <v>52</v>
      </c>
      <c r="Q98" s="7">
        <v>6.49</v>
      </c>
      <c r="R98" s="9">
        <v>6.46</v>
      </c>
      <c r="S98" s="7">
        <v>3.97</v>
      </c>
      <c r="T98" s="7" t="s">
        <v>493</v>
      </c>
      <c r="U98" s="7">
        <v>1.005</v>
      </c>
      <c r="V98" s="7">
        <v>61.3</v>
      </c>
      <c r="W98" s="7">
        <v>61</v>
      </c>
      <c r="X98" s="7" t="s">
        <v>54</v>
      </c>
      <c r="Y98" s="7" t="s">
        <v>55</v>
      </c>
      <c r="Z98" s="7" t="s">
        <v>56</v>
      </c>
      <c r="AA98" s="7" t="s">
        <v>56</v>
      </c>
      <c r="AB98" s="7" t="s">
        <v>110</v>
      </c>
      <c r="AC98" s="7" t="s">
        <v>56</v>
      </c>
      <c r="AD98" s="7" t="s">
        <v>56</v>
      </c>
      <c r="AE98" s="7" t="s">
        <v>56</v>
      </c>
      <c r="AF98" s="7" t="s">
        <v>56</v>
      </c>
      <c r="AG98" s="7" t="s">
        <v>56</v>
      </c>
      <c r="AH98" s="7">
        <v>9894</v>
      </c>
      <c r="AI98" s="10" t="s">
        <v>59</v>
      </c>
      <c r="AJ98" s="7" t="s">
        <v>494</v>
      </c>
      <c r="AK98" s="7"/>
      <c r="AL98" s="7"/>
      <c r="AM98" s="7"/>
      <c r="AN98" s="7" t="s">
        <v>495</v>
      </c>
      <c r="AO98" s="7" t="b">
        <v>1</v>
      </c>
      <c r="AP98" s="7">
        <v>1</v>
      </c>
      <c r="AQ98" s="7">
        <v>1</v>
      </c>
      <c r="AR98" s="10" t="s">
        <v>62</v>
      </c>
    </row>
    <row r="99">
      <c r="A99" s="7">
        <v>97</v>
      </c>
      <c r="B99" s="7" t="s">
        <v>496</v>
      </c>
      <c r="C99" s="8" t="s">
        <v>46</v>
      </c>
      <c r="D99" s="7" t="s">
        <v>47</v>
      </c>
      <c r="E99" s="9">
        <v>1.02</v>
      </c>
      <c r="F99" s="7" t="s">
        <v>86</v>
      </c>
      <c r="G99" s="7" t="s">
        <v>70</v>
      </c>
      <c r="H99" s="7" t="s">
        <v>50</v>
      </c>
      <c r="I99" s="7" t="s">
        <v>50</v>
      </c>
      <c r="J99" s="9" t="s">
        <v>50</v>
      </c>
      <c r="K99" s="9" t="s">
        <v>51</v>
      </c>
      <c r="L99" s="9">
        <v>42.64</v>
      </c>
      <c r="M99" s="9">
        <v>9700</v>
      </c>
      <c r="N99" s="7">
        <v>5563.92</v>
      </c>
      <c r="O99" s="9">
        <f>M99*(100-L99)/100*E99</f>
      </c>
      <c r="P99" s="7" t="s">
        <v>52</v>
      </c>
      <c r="Q99" s="7">
        <v>6.41</v>
      </c>
      <c r="R99" s="9">
        <v>6.37</v>
      </c>
      <c r="S99" s="7">
        <v>3.99</v>
      </c>
      <c r="T99" s="7" t="s">
        <v>497</v>
      </c>
      <c r="U99" s="7">
        <v>1.006</v>
      </c>
      <c r="V99" s="7">
        <v>62.4</v>
      </c>
      <c r="W99" s="7">
        <v>58</v>
      </c>
      <c r="X99" s="7" t="s">
        <v>54</v>
      </c>
      <c r="Y99" s="7" t="s">
        <v>55</v>
      </c>
      <c r="Z99" s="7" t="s">
        <v>56</v>
      </c>
      <c r="AA99" s="7" t="s">
        <v>56</v>
      </c>
      <c r="AB99" s="7" t="s">
        <v>115</v>
      </c>
      <c r="AC99" s="10" t="s">
        <v>73</v>
      </c>
      <c r="AD99" s="7" t="s">
        <v>56</v>
      </c>
      <c r="AE99" s="7" t="s">
        <v>56</v>
      </c>
      <c r="AF99" s="7" t="s">
        <v>56</v>
      </c>
      <c r="AG99" s="7" t="s">
        <v>56</v>
      </c>
      <c r="AH99" s="7">
        <v>9894</v>
      </c>
      <c r="AI99" s="10" t="s">
        <v>59</v>
      </c>
      <c r="AJ99" s="7" t="s">
        <v>498</v>
      </c>
      <c r="AK99" s="7"/>
      <c r="AL99" s="7"/>
      <c r="AM99" s="7"/>
      <c r="AN99" s="7" t="s">
        <v>499</v>
      </c>
      <c r="AO99" s="7" t="b">
        <v>1</v>
      </c>
      <c r="AP99" s="7">
        <v>1</v>
      </c>
      <c r="AQ99" s="7">
        <v>1</v>
      </c>
      <c r="AR99" s="10" t="s">
        <v>62</v>
      </c>
    </row>
    <row r="100">
      <c r="A100" s="7">
        <v>98</v>
      </c>
      <c r="B100" s="7" t="s">
        <v>500</v>
      </c>
      <c r="C100" s="8" t="s">
        <v>46</v>
      </c>
      <c r="D100" s="7" t="s">
        <v>47</v>
      </c>
      <c r="E100" s="9">
        <v>1.02</v>
      </c>
      <c r="F100" s="7" t="s">
        <v>86</v>
      </c>
      <c r="G100" s="7" t="s">
        <v>70</v>
      </c>
      <c r="H100" s="7" t="s">
        <v>50</v>
      </c>
      <c r="I100" s="7" t="s">
        <v>50</v>
      </c>
      <c r="J100" s="9" t="s">
        <v>50</v>
      </c>
      <c r="K100" s="9" t="s">
        <v>51</v>
      </c>
      <c r="L100" s="9">
        <v>42.9</v>
      </c>
      <c r="M100" s="9">
        <v>9700</v>
      </c>
      <c r="N100" s="7">
        <v>5538.7</v>
      </c>
      <c r="O100" s="9">
        <f>M100*(100-L100)/100*E100</f>
      </c>
      <c r="P100" s="7" t="s">
        <v>52</v>
      </c>
      <c r="Q100" s="7">
        <v>6.46</v>
      </c>
      <c r="R100" s="9">
        <v>6.42</v>
      </c>
      <c r="S100" s="7">
        <v>4.01</v>
      </c>
      <c r="T100" s="7" t="s">
        <v>501</v>
      </c>
      <c r="U100" s="7">
        <v>1.006</v>
      </c>
      <c r="V100" s="7">
        <v>62.4</v>
      </c>
      <c r="W100" s="7">
        <v>55</v>
      </c>
      <c r="X100" s="7" t="s">
        <v>54</v>
      </c>
      <c r="Y100" s="7" t="s">
        <v>55</v>
      </c>
      <c r="Z100" s="7" t="s">
        <v>56</v>
      </c>
      <c r="AA100" s="7" t="s">
        <v>56</v>
      </c>
      <c r="AB100" s="7" t="s">
        <v>78</v>
      </c>
      <c r="AC100" s="10" t="s">
        <v>73</v>
      </c>
      <c r="AD100" s="7" t="s">
        <v>56</v>
      </c>
      <c r="AE100" s="7" t="s">
        <v>56</v>
      </c>
      <c r="AF100" s="7" t="s">
        <v>56</v>
      </c>
      <c r="AG100" s="7" t="s">
        <v>56</v>
      </c>
      <c r="AH100" s="7">
        <v>9894</v>
      </c>
      <c r="AI100" s="10" t="s">
        <v>59</v>
      </c>
      <c r="AJ100" s="7" t="s">
        <v>502</v>
      </c>
      <c r="AK100" s="7"/>
      <c r="AL100" s="7"/>
      <c r="AM100" s="7"/>
      <c r="AN100" s="7" t="s">
        <v>503</v>
      </c>
      <c r="AO100" s="7" t="b">
        <v>1</v>
      </c>
      <c r="AP100" s="7">
        <v>1</v>
      </c>
      <c r="AQ100" s="7">
        <v>1</v>
      </c>
      <c r="AR100" s="10" t="s">
        <v>62</v>
      </c>
    </row>
    <row r="101">
      <c r="A101" s="7">
        <v>99</v>
      </c>
      <c r="B101" s="7" t="s">
        <v>504</v>
      </c>
      <c r="C101" s="8" t="s">
        <v>46</v>
      </c>
      <c r="D101" s="7" t="s">
        <v>47</v>
      </c>
      <c r="E101" s="9">
        <v>1.02</v>
      </c>
      <c r="F101" s="7" t="s">
        <v>86</v>
      </c>
      <c r="G101" s="7" t="s">
        <v>70</v>
      </c>
      <c r="H101" s="7" t="s">
        <v>50</v>
      </c>
      <c r="I101" s="7" t="s">
        <v>50</v>
      </c>
      <c r="J101" s="9" t="s">
        <v>50</v>
      </c>
      <c r="K101" s="9" t="s">
        <v>51</v>
      </c>
      <c r="L101" s="9">
        <v>42.64</v>
      </c>
      <c r="M101" s="9">
        <v>9700</v>
      </c>
      <c r="N101" s="7">
        <v>5563.92</v>
      </c>
      <c r="O101" s="9">
        <f>M101*(100-L101)/100*E101</f>
      </c>
      <c r="P101" s="7" t="s">
        <v>52</v>
      </c>
      <c r="Q101" s="7">
        <v>6.46</v>
      </c>
      <c r="R101" s="9">
        <v>6.41</v>
      </c>
      <c r="S101" s="7">
        <v>4.01</v>
      </c>
      <c r="T101" s="7" t="s">
        <v>505</v>
      </c>
      <c r="U101" s="7">
        <v>1.008</v>
      </c>
      <c r="V101" s="7">
        <v>62.3</v>
      </c>
      <c r="W101" s="7">
        <v>57</v>
      </c>
      <c r="X101" s="7" t="s">
        <v>54</v>
      </c>
      <c r="Y101" s="7" t="s">
        <v>55</v>
      </c>
      <c r="Z101" s="7" t="s">
        <v>56</v>
      </c>
      <c r="AA101" s="7" t="s">
        <v>56</v>
      </c>
      <c r="AB101" s="7" t="s">
        <v>110</v>
      </c>
      <c r="AC101" s="7" t="s">
        <v>56</v>
      </c>
      <c r="AD101" s="7" t="s">
        <v>56</v>
      </c>
      <c r="AE101" s="7" t="s">
        <v>56</v>
      </c>
      <c r="AF101" s="7" t="s">
        <v>56</v>
      </c>
      <c r="AG101" s="7" t="s">
        <v>56</v>
      </c>
      <c r="AH101" s="7">
        <v>9894</v>
      </c>
      <c r="AI101" s="10" t="s">
        <v>59</v>
      </c>
      <c r="AJ101" s="7" t="s">
        <v>506</v>
      </c>
      <c r="AK101" s="7"/>
      <c r="AL101" s="7"/>
      <c r="AM101" s="7"/>
      <c r="AN101" s="7" t="s">
        <v>507</v>
      </c>
      <c r="AO101" s="7" t="b">
        <v>1</v>
      </c>
      <c r="AP101" s="7">
        <v>1</v>
      </c>
      <c r="AQ101" s="7">
        <v>1</v>
      </c>
      <c r="AR101" s="10" t="s">
        <v>62</v>
      </c>
    </row>
    <row r="102">
      <c r="A102" s="7">
        <v>100</v>
      </c>
      <c r="B102" s="7" t="s">
        <v>508</v>
      </c>
      <c r="C102" s="8" t="s">
        <v>46</v>
      </c>
      <c r="D102" s="7" t="s">
        <v>47</v>
      </c>
      <c r="E102" s="9">
        <v>1.02</v>
      </c>
      <c r="F102" s="7" t="s">
        <v>86</v>
      </c>
      <c r="G102" s="7" t="s">
        <v>70</v>
      </c>
      <c r="H102" s="7" t="s">
        <v>50</v>
      </c>
      <c r="I102" s="7" t="s">
        <v>50</v>
      </c>
      <c r="J102" s="9" t="s">
        <v>50</v>
      </c>
      <c r="K102" s="9" t="s">
        <v>51</v>
      </c>
      <c r="L102" s="9">
        <v>42.9</v>
      </c>
      <c r="M102" s="9">
        <v>9700</v>
      </c>
      <c r="N102" s="7">
        <v>5538.7</v>
      </c>
      <c r="O102" s="9">
        <f>M102*(100-L102)/100*E102</f>
      </c>
      <c r="P102" s="7" t="s">
        <v>52</v>
      </c>
      <c r="Q102" s="7">
        <v>6.42</v>
      </c>
      <c r="R102" s="9">
        <v>6.39</v>
      </c>
      <c r="S102" s="7">
        <v>4.01</v>
      </c>
      <c r="T102" s="7" t="s">
        <v>509</v>
      </c>
      <c r="U102" s="7">
        <v>1.005</v>
      </c>
      <c r="V102" s="7">
        <v>62.5</v>
      </c>
      <c r="W102" s="7">
        <v>58</v>
      </c>
      <c r="X102" s="7" t="s">
        <v>54</v>
      </c>
      <c r="Y102" s="7" t="s">
        <v>55</v>
      </c>
      <c r="Z102" s="7" t="s">
        <v>56</v>
      </c>
      <c r="AA102" s="7" t="s">
        <v>56</v>
      </c>
      <c r="AB102" s="7" t="s">
        <v>110</v>
      </c>
      <c r="AC102" s="10" t="s">
        <v>56</v>
      </c>
      <c r="AD102" s="7" t="s">
        <v>56</v>
      </c>
      <c r="AE102" s="7" t="s">
        <v>56</v>
      </c>
      <c r="AF102" s="7" t="s">
        <v>56</v>
      </c>
      <c r="AG102" s="7" t="s">
        <v>56</v>
      </c>
      <c r="AH102" s="7">
        <v>9894</v>
      </c>
      <c r="AI102" s="10" t="s">
        <v>59</v>
      </c>
      <c r="AJ102" s="7" t="s">
        <v>510</v>
      </c>
      <c r="AK102" s="7"/>
      <c r="AL102" s="7"/>
      <c r="AM102" s="7"/>
      <c r="AN102" s="7" t="s">
        <v>511</v>
      </c>
      <c r="AO102" s="7" t="b">
        <v>1</v>
      </c>
      <c r="AP102" s="7">
        <v>1</v>
      </c>
      <c r="AQ102" s="7">
        <v>1</v>
      </c>
      <c r="AR102" s="10" t="s">
        <v>62</v>
      </c>
    </row>
    <row r="103">
      <c r="A103" s="7">
        <v>101</v>
      </c>
      <c r="B103" s="7" t="s">
        <v>512</v>
      </c>
      <c r="C103" s="8" t="s">
        <v>46</v>
      </c>
      <c r="D103" s="7" t="s">
        <v>47</v>
      </c>
      <c r="E103" s="9">
        <v>1.02</v>
      </c>
      <c r="F103" s="7" t="s">
        <v>86</v>
      </c>
      <c r="G103" s="7" t="s">
        <v>70</v>
      </c>
      <c r="H103" s="7" t="s">
        <v>50</v>
      </c>
      <c r="I103" s="7" t="s">
        <v>50</v>
      </c>
      <c r="J103" s="9" t="s">
        <v>50</v>
      </c>
      <c r="K103" s="9" t="s">
        <v>51</v>
      </c>
      <c r="L103" s="9">
        <v>42.9</v>
      </c>
      <c r="M103" s="9">
        <v>9700</v>
      </c>
      <c r="N103" s="7">
        <v>5538.7</v>
      </c>
      <c r="O103" s="9">
        <f>M103*(100-L103)/100*E103</f>
      </c>
      <c r="P103" s="7" t="s">
        <v>52</v>
      </c>
      <c r="Q103" s="7">
        <v>6.42</v>
      </c>
      <c r="R103" s="9">
        <v>6.4</v>
      </c>
      <c r="S103" s="7">
        <v>4</v>
      </c>
      <c r="T103" s="7" t="s">
        <v>513</v>
      </c>
      <c r="U103" s="7">
        <v>1.003</v>
      </c>
      <c r="V103" s="7">
        <v>62.3</v>
      </c>
      <c r="W103" s="7">
        <v>59</v>
      </c>
      <c r="X103" s="7" t="s">
        <v>54</v>
      </c>
      <c r="Y103" s="7" t="s">
        <v>55</v>
      </c>
      <c r="Z103" s="7" t="s">
        <v>56</v>
      </c>
      <c r="AA103" s="7" t="s">
        <v>56</v>
      </c>
      <c r="AB103" s="7" t="s">
        <v>225</v>
      </c>
      <c r="AC103" s="7" t="s">
        <v>56</v>
      </c>
      <c r="AD103" s="7" t="s">
        <v>56</v>
      </c>
      <c r="AE103" s="7" t="s">
        <v>56</v>
      </c>
      <c r="AF103" s="7" t="s">
        <v>56</v>
      </c>
      <c r="AG103" s="7" t="s">
        <v>56</v>
      </c>
      <c r="AH103" s="7">
        <v>9894</v>
      </c>
      <c r="AI103" s="10" t="s">
        <v>59</v>
      </c>
      <c r="AJ103" s="7" t="s">
        <v>514</v>
      </c>
      <c r="AK103" s="7"/>
      <c r="AL103" s="7"/>
      <c r="AM103" s="7"/>
      <c r="AN103" s="7" t="s">
        <v>515</v>
      </c>
      <c r="AO103" s="7" t="b">
        <v>1</v>
      </c>
      <c r="AP103" s="7">
        <v>1</v>
      </c>
      <c r="AQ103" s="7">
        <v>1</v>
      </c>
      <c r="AR103" s="10" t="s">
        <v>62</v>
      </c>
    </row>
    <row r="104">
      <c r="A104" s="7">
        <v>102</v>
      </c>
      <c r="B104" s="7" t="s">
        <v>516</v>
      </c>
      <c r="C104" s="8" t="s">
        <v>46</v>
      </c>
      <c r="D104" s="7" t="s">
        <v>47</v>
      </c>
      <c r="E104" s="9">
        <v>1.02</v>
      </c>
      <c r="F104" s="7" t="s">
        <v>86</v>
      </c>
      <c r="G104" s="7" t="s">
        <v>263</v>
      </c>
      <c r="H104" s="7" t="s">
        <v>50</v>
      </c>
      <c r="I104" s="7" t="s">
        <v>50</v>
      </c>
      <c r="J104" s="9" t="s">
        <v>50</v>
      </c>
      <c r="K104" s="9" t="s">
        <v>51</v>
      </c>
      <c r="L104" s="9">
        <v>42.38</v>
      </c>
      <c r="M104" s="9">
        <v>9700</v>
      </c>
      <c r="N104" s="7">
        <v>5589.14</v>
      </c>
      <c r="O104" s="9">
        <f>M104*(100-L104)/100*E104</f>
      </c>
      <c r="P104" s="7" t="s">
        <v>52</v>
      </c>
      <c r="Q104" s="7">
        <v>6.42</v>
      </c>
      <c r="R104" s="9">
        <v>6.38</v>
      </c>
      <c r="S104" s="7">
        <v>4</v>
      </c>
      <c r="T104" s="7" t="s">
        <v>517</v>
      </c>
      <c r="U104" s="7">
        <v>1.006</v>
      </c>
      <c r="V104" s="7">
        <v>62.6</v>
      </c>
      <c r="W104" s="7">
        <v>59</v>
      </c>
      <c r="X104" s="7" t="s">
        <v>54</v>
      </c>
      <c r="Y104" s="7" t="s">
        <v>55</v>
      </c>
      <c r="Z104" s="7" t="s">
        <v>56</v>
      </c>
      <c r="AA104" s="7" t="s">
        <v>56</v>
      </c>
      <c r="AB104" s="7" t="s">
        <v>110</v>
      </c>
      <c r="AC104" s="7" t="s">
        <v>56</v>
      </c>
      <c r="AD104" s="7" t="s">
        <v>56</v>
      </c>
      <c r="AE104" s="7" t="s">
        <v>56</v>
      </c>
      <c r="AF104" s="7" t="s">
        <v>56</v>
      </c>
      <c r="AG104" s="7" t="s">
        <v>56</v>
      </c>
      <c r="AH104" s="7">
        <v>9894</v>
      </c>
      <c r="AI104" s="10" t="s">
        <v>59</v>
      </c>
      <c r="AJ104" s="7" t="s">
        <v>518</v>
      </c>
      <c r="AK104" s="7"/>
      <c r="AL104" s="7"/>
      <c r="AM104" s="7"/>
      <c r="AN104" s="7" t="s">
        <v>519</v>
      </c>
      <c r="AO104" s="7" t="b">
        <v>1</v>
      </c>
      <c r="AP104" s="7">
        <v>1</v>
      </c>
      <c r="AQ104" s="7">
        <v>1</v>
      </c>
      <c r="AR104" s="10" t="s">
        <v>62</v>
      </c>
    </row>
    <row r="105">
      <c r="A105" s="7">
        <v>103</v>
      </c>
      <c r="B105" s="7" t="s">
        <v>520</v>
      </c>
      <c r="C105" s="8" t="s">
        <v>46</v>
      </c>
      <c r="D105" s="7" t="s">
        <v>47</v>
      </c>
      <c r="E105" s="9">
        <v>1.02</v>
      </c>
      <c r="F105" s="7" t="s">
        <v>119</v>
      </c>
      <c r="G105" s="7" t="s">
        <v>64</v>
      </c>
      <c r="H105" s="7" t="s">
        <v>50</v>
      </c>
      <c r="I105" s="7" t="s">
        <v>50</v>
      </c>
      <c r="J105" s="9" t="s">
        <v>50</v>
      </c>
      <c r="K105" s="9" t="s">
        <v>51</v>
      </c>
      <c r="L105" s="9">
        <v>41.61</v>
      </c>
      <c r="M105" s="9">
        <v>6200</v>
      </c>
      <c r="N105" s="7">
        <v>3620.18</v>
      </c>
      <c r="O105" s="9">
        <f>M105*(100-L105)/100*E105</f>
      </c>
      <c r="P105" s="7" t="s">
        <v>52</v>
      </c>
      <c r="Q105" s="7">
        <v>6.58</v>
      </c>
      <c r="R105" s="9">
        <v>6.54</v>
      </c>
      <c r="S105" s="7">
        <v>3.89</v>
      </c>
      <c r="T105" s="7" t="s">
        <v>521</v>
      </c>
      <c r="U105" s="7">
        <v>1.006</v>
      </c>
      <c r="V105" s="7">
        <v>59.4</v>
      </c>
      <c r="W105" s="7">
        <v>58</v>
      </c>
      <c r="X105" s="7" t="s">
        <v>54</v>
      </c>
      <c r="Y105" s="7" t="s">
        <v>55</v>
      </c>
      <c r="Z105" s="7" t="s">
        <v>56</v>
      </c>
      <c r="AA105" s="7" t="s">
        <v>56</v>
      </c>
      <c r="AB105" s="7" t="s">
        <v>115</v>
      </c>
      <c r="AC105" s="10" t="s">
        <v>56</v>
      </c>
      <c r="AD105" s="7" t="s">
        <v>56</v>
      </c>
      <c r="AE105" s="7" t="s">
        <v>56</v>
      </c>
      <c r="AF105" s="7" t="s">
        <v>56</v>
      </c>
      <c r="AG105" s="7" t="s">
        <v>56</v>
      </c>
      <c r="AH105" s="7">
        <v>6324</v>
      </c>
      <c r="AI105" s="10" t="s">
        <v>59</v>
      </c>
      <c r="AJ105" s="7" t="s">
        <v>522</v>
      </c>
      <c r="AK105" s="7"/>
      <c r="AL105" s="7"/>
      <c r="AM105" s="7"/>
      <c r="AN105" s="7" t="s">
        <v>523</v>
      </c>
      <c r="AO105" s="7" t="b">
        <v>1</v>
      </c>
      <c r="AP105" s="7">
        <v>1</v>
      </c>
      <c r="AQ105" s="7">
        <v>1</v>
      </c>
      <c r="AR105" s="10" t="s">
        <v>62</v>
      </c>
    </row>
    <row r="106">
      <c r="A106" s="7">
        <v>104</v>
      </c>
      <c r="B106" s="7" t="s">
        <v>524</v>
      </c>
      <c r="C106" s="8" t="s">
        <v>46</v>
      </c>
      <c r="D106" s="7" t="s">
        <v>47</v>
      </c>
      <c r="E106" s="9">
        <v>1.02</v>
      </c>
      <c r="F106" s="7" t="s">
        <v>136</v>
      </c>
      <c r="G106" s="7" t="s">
        <v>120</v>
      </c>
      <c r="H106" s="7" t="s">
        <v>50</v>
      </c>
      <c r="I106" s="7" t="s">
        <v>50</v>
      </c>
      <c r="J106" s="9" t="s">
        <v>50</v>
      </c>
      <c r="K106" s="9" t="s">
        <v>51</v>
      </c>
      <c r="L106" s="9">
        <v>42.64</v>
      </c>
      <c r="M106" s="9">
        <v>7500</v>
      </c>
      <c r="N106" s="7">
        <v>4302</v>
      </c>
      <c r="O106" s="9">
        <f>M106*(100-L106)/100*E106</f>
      </c>
      <c r="P106" s="7" t="s">
        <v>52</v>
      </c>
      <c r="Q106" s="7">
        <v>6.4</v>
      </c>
      <c r="R106" s="9">
        <v>6.37</v>
      </c>
      <c r="S106" s="7">
        <v>3.98</v>
      </c>
      <c r="T106" s="7" t="s">
        <v>525</v>
      </c>
      <c r="U106" s="7">
        <v>1.005</v>
      </c>
      <c r="V106" s="7">
        <v>62.4</v>
      </c>
      <c r="W106" s="7">
        <v>59</v>
      </c>
      <c r="X106" s="7" t="s">
        <v>54</v>
      </c>
      <c r="Y106" s="7" t="s">
        <v>55</v>
      </c>
      <c r="Z106" s="7" t="s">
        <v>56</v>
      </c>
      <c r="AA106" s="7" t="s">
        <v>56</v>
      </c>
      <c r="AB106" s="7" t="s">
        <v>330</v>
      </c>
      <c r="AC106" s="10" t="s">
        <v>105</v>
      </c>
      <c r="AD106" s="7" t="s">
        <v>56</v>
      </c>
      <c r="AE106" s="7" t="s">
        <v>56</v>
      </c>
      <c r="AF106" s="7" t="s">
        <v>56</v>
      </c>
      <c r="AG106" s="7" t="s">
        <v>56</v>
      </c>
      <c r="AH106" s="7">
        <v>7650</v>
      </c>
      <c r="AI106" s="10" t="s">
        <v>59</v>
      </c>
      <c r="AJ106" s="7" t="s">
        <v>526</v>
      </c>
      <c r="AK106" s="7"/>
      <c r="AL106" s="7"/>
      <c r="AM106" s="7"/>
      <c r="AN106" s="7" t="s">
        <v>527</v>
      </c>
      <c r="AO106" s="7" t="b">
        <v>1</v>
      </c>
      <c r="AP106" s="7">
        <v>1</v>
      </c>
      <c r="AQ106" s="7">
        <v>1</v>
      </c>
      <c r="AR106" s="10" t="s">
        <v>62</v>
      </c>
    </row>
    <row r="107">
      <c r="A107" s="7">
        <v>105</v>
      </c>
      <c r="B107" s="7" t="s">
        <v>528</v>
      </c>
      <c r="C107" s="8" t="s">
        <v>46</v>
      </c>
      <c r="D107" s="7" t="s">
        <v>47</v>
      </c>
      <c r="E107" s="9">
        <v>1.02</v>
      </c>
      <c r="F107" s="7" t="s">
        <v>188</v>
      </c>
      <c r="G107" s="7" t="s">
        <v>70</v>
      </c>
      <c r="H107" s="7" t="s">
        <v>50</v>
      </c>
      <c r="I107" s="7" t="s">
        <v>50</v>
      </c>
      <c r="J107" s="9" t="s">
        <v>50</v>
      </c>
      <c r="K107" s="9" t="s">
        <v>51</v>
      </c>
      <c r="L107" s="9">
        <v>44.95</v>
      </c>
      <c r="M107" s="9">
        <v>8000</v>
      </c>
      <c r="N107" s="7">
        <v>4404</v>
      </c>
      <c r="O107" s="9">
        <f>M107*(100-L107)/100*E107</f>
      </c>
      <c r="P107" s="7" t="s">
        <v>52</v>
      </c>
      <c r="Q107" s="7">
        <v>6.43</v>
      </c>
      <c r="R107" s="9">
        <v>6.39</v>
      </c>
      <c r="S107" s="7">
        <v>4.02</v>
      </c>
      <c r="T107" s="7" t="s">
        <v>529</v>
      </c>
      <c r="U107" s="7">
        <v>1.006</v>
      </c>
      <c r="V107" s="7">
        <v>62.7</v>
      </c>
      <c r="W107" s="7">
        <v>59</v>
      </c>
      <c r="X107" s="7" t="s">
        <v>54</v>
      </c>
      <c r="Y107" s="7" t="s">
        <v>55</v>
      </c>
      <c r="Z107" s="7" t="s">
        <v>56</v>
      </c>
      <c r="AA107" s="7" t="s">
        <v>56</v>
      </c>
      <c r="AB107" s="7" t="s">
        <v>110</v>
      </c>
      <c r="AC107" s="7" t="s">
        <v>56</v>
      </c>
      <c r="AD107" s="7" t="s">
        <v>56</v>
      </c>
      <c r="AE107" s="7" t="s">
        <v>56</v>
      </c>
      <c r="AF107" s="7" t="s">
        <v>56</v>
      </c>
      <c r="AG107" s="7" t="s">
        <v>56</v>
      </c>
      <c r="AH107" s="7">
        <v>8160</v>
      </c>
      <c r="AI107" s="10" t="s">
        <v>59</v>
      </c>
      <c r="AJ107" s="7" t="s">
        <v>530</v>
      </c>
      <c r="AK107" s="7"/>
      <c r="AL107" s="7"/>
      <c r="AM107" s="7"/>
      <c r="AN107" s="7" t="s">
        <v>531</v>
      </c>
      <c r="AO107" s="7" t="b">
        <v>1</v>
      </c>
      <c r="AP107" s="7">
        <v>1</v>
      </c>
      <c r="AQ107" s="7">
        <v>1</v>
      </c>
      <c r="AR107" s="10" t="s">
        <v>62</v>
      </c>
    </row>
    <row r="108">
      <c r="A108" s="7">
        <v>106</v>
      </c>
      <c r="B108" s="7" t="s">
        <v>532</v>
      </c>
      <c r="C108" s="8" t="s">
        <v>46</v>
      </c>
      <c r="D108" s="7" t="s">
        <v>47</v>
      </c>
      <c r="E108" s="9">
        <v>1.01</v>
      </c>
      <c r="F108" s="7" t="s">
        <v>48</v>
      </c>
      <c r="G108" s="7" t="s">
        <v>64</v>
      </c>
      <c r="H108" s="7" t="s">
        <v>50</v>
      </c>
      <c r="I108" s="7" t="s">
        <v>50</v>
      </c>
      <c r="J108" s="9" t="s">
        <v>50</v>
      </c>
      <c r="K108" s="9" t="s">
        <v>51</v>
      </c>
      <c r="L108" s="9">
        <v>40.32</v>
      </c>
      <c r="M108" s="9">
        <v>6900</v>
      </c>
      <c r="N108" s="7">
        <v>4117.92</v>
      </c>
      <c r="O108" s="9">
        <f>M108*(100-L108)/100*E108</f>
      </c>
      <c r="P108" s="7" t="s">
        <v>52</v>
      </c>
      <c r="Q108" s="7">
        <v>6.4</v>
      </c>
      <c r="R108" s="9">
        <v>6.37</v>
      </c>
      <c r="S108" s="7">
        <v>3.98</v>
      </c>
      <c r="T108" s="7" t="s">
        <v>533</v>
      </c>
      <c r="U108" s="7">
        <v>1.005</v>
      </c>
      <c r="V108" s="7">
        <v>62.4</v>
      </c>
      <c r="W108" s="7">
        <v>58</v>
      </c>
      <c r="X108" s="7" t="s">
        <v>54</v>
      </c>
      <c r="Y108" s="7" t="s">
        <v>55</v>
      </c>
      <c r="Z108" s="7" t="s">
        <v>56</v>
      </c>
      <c r="AA108" s="7" t="s">
        <v>56</v>
      </c>
      <c r="AB108" s="7" t="s">
        <v>534</v>
      </c>
      <c r="AC108" s="10" t="s">
        <v>105</v>
      </c>
      <c r="AD108" s="7" t="s">
        <v>56</v>
      </c>
      <c r="AE108" s="7" t="s">
        <v>56</v>
      </c>
      <c r="AF108" s="7" t="s">
        <v>56</v>
      </c>
      <c r="AG108" s="7" t="s">
        <v>56</v>
      </c>
      <c r="AH108" s="7">
        <v>6969</v>
      </c>
      <c r="AI108" s="10" t="s">
        <v>59</v>
      </c>
      <c r="AJ108" s="7" t="s">
        <v>535</v>
      </c>
      <c r="AK108" s="7"/>
      <c r="AL108" s="7"/>
      <c r="AM108" s="7"/>
      <c r="AN108" s="7" t="s">
        <v>536</v>
      </c>
      <c r="AO108" s="7" t="b">
        <v>1</v>
      </c>
      <c r="AP108" s="7">
        <v>1</v>
      </c>
      <c r="AQ108" s="7">
        <v>1</v>
      </c>
      <c r="AR108" s="10" t="s">
        <v>62</v>
      </c>
    </row>
    <row r="109">
      <c r="A109" s="7">
        <v>107</v>
      </c>
      <c r="B109" s="7" t="s">
        <v>537</v>
      </c>
      <c r="C109" s="8" t="s">
        <v>46</v>
      </c>
      <c r="D109" s="7" t="s">
        <v>47</v>
      </c>
      <c r="E109" s="9">
        <v>1.01</v>
      </c>
      <c r="F109" s="7" t="s">
        <v>48</v>
      </c>
      <c r="G109" s="7" t="s">
        <v>70</v>
      </c>
      <c r="H109" s="7" t="s">
        <v>50</v>
      </c>
      <c r="I109" s="7" t="s">
        <v>50</v>
      </c>
      <c r="J109" s="9" t="s">
        <v>50</v>
      </c>
      <c r="K109" s="9" t="s">
        <v>51</v>
      </c>
      <c r="L109" s="9">
        <v>43.15</v>
      </c>
      <c r="M109" s="9">
        <v>9700</v>
      </c>
      <c r="N109" s="7">
        <v>5514.45</v>
      </c>
      <c r="O109" s="9">
        <f>M109*(100-L109)/100*E109</f>
      </c>
      <c r="P109" s="7" t="s">
        <v>52</v>
      </c>
      <c r="Q109" s="7">
        <v>6.41</v>
      </c>
      <c r="R109" s="9">
        <v>6.37</v>
      </c>
      <c r="S109" s="7">
        <v>4.02</v>
      </c>
      <c r="T109" s="7" t="s">
        <v>538</v>
      </c>
      <c r="U109" s="7">
        <v>1.006</v>
      </c>
      <c r="V109" s="7">
        <v>62.9</v>
      </c>
      <c r="W109" s="7">
        <v>56</v>
      </c>
      <c r="X109" s="7" t="s">
        <v>54</v>
      </c>
      <c r="Y109" s="7" t="s">
        <v>55</v>
      </c>
      <c r="Z109" s="7" t="s">
        <v>56</v>
      </c>
      <c r="AA109" s="7" t="s">
        <v>56</v>
      </c>
      <c r="AB109" s="7" t="s">
        <v>110</v>
      </c>
      <c r="AC109" s="7" t="s">
        <v>56</v>
      </c>
      <c r="AD109" s="7" t="s">
        <v>56</v>
      </c>
      <c r="AE109" s="7" t="s">
        <v>56</v>
      </c>
      <c r="AF109" s="7" t="s">
        <v>56</v>
      </c>
      <c r="AG109" s="7" t="s">
        <v>56</v>
      </c>
      <c r="AH109" s="7">
        <v>9797</v>
      </c>
      <c r="AI109" s="10" t="s">
        <v>59</v>
      </c>
      <c r="AJ109" s="7" t="s">
        <v>539</v>
      </c>
      <c r="AK109" s="7"/>
      <c r="AL109" s="7"/>
      <c r="AM109" s="7"/>
      <c r="AN109" s="7" t="s">
        <v>540</v>
      </c>
      <c r="AO109" s="7" t="b">
        <v>1</v>
      </c>
      <c r="AP109" s="7">
        <v>1</v>
      </c>
      <c r="AQ109" s="7">
        <v>1</v>
      </c>
      <c r="AR109" s="10" t="s">
        <v>62</v>
      </c>
    </row>
    <row r="110">
      <c r="A110" s="7">
        <v>108</v>
      </c>
      <c r="B110" s="7" t="s">
        <v>541</v>
      </c>
      <c r="C110" s="8" t="s">
        <v>46</v>
      </c>
      <c r="D110" s="7" t="s">
        <v>47</v>
      </c>
      <c r="E110" s="9">
        <v>1.01</v>
      </c>
      <c r="F110" s="7" t="s">
        <v>86</v>
      </c>
      <c r="G110" s="7" t="s">
        <v>120</v>
      </c>
      <c r="H110" s="7" t="s">
        <v>50</v>
      </c>
      <c r="I110" s="7" t="s">
        <v>50</v>
      </c>
      <c r="J110" s="9" t="s">
        <v>50</v>
      </c>
      <c r="K110" s="9" t="s">
        <v>51</v>
      </c>
      <c r="L110" s="9">
        <v>41.35</v>
      </c>
      <c r="M110" s="9">
        <v>8300</v>
      </c>
      <c r="N110" s="7">
        <v>4867.95</v>
      </c>
      <c r="O110" s="9">
        <f>M110*(100-L110)/100*E110</f>
      </c>
      <c r="P110" s="7" t="s">
        <v>52</v>
      </c>
      <c r="Q110" s="7">
        <v>6.42</v>
      </c>
      <c r="R110" s="9">
        <v>6.37</v>
      </c>
      <c r="S110" s="7">
        <v>4.01</v>
      </c>
      <c r="T110" s="7" t="s">
        <v>542</v>
      </c>
      <c r="U110" s="7">
        <v>1.008</v>
      </c>
      <c r="V110" s="7">
        <v>62.8</v>
      </c>
      <c r="W110" s="7">
        <v>58</v>
      </c>
      <c r="X110" s="7" t="s">
        <v>54</v>
      </c>
      <c r="Y110" s="7" t="s">
        <v>55</v>
      </c>
      <c r="Z110" s="7" t="s">
        <v>56</v>
      </c>
      <c r="AA110" s="7" t="s">
        <v>56</v>
      </c>
      <c r="AB110" s="7" t="s">
        <v>534</v>
      </c>
      <c r="AC110" s="7" t="s">
        <v>56</v>
      </c>
      <c r="AD110" s="7" t="s">
        <v>56</v>
      </c>
      <c r="AE110" s="7" t="s">
        <v>56</v>
      </c>
      <c r="AF110" s="7" t="s">
        <v>56</v>
      </c>
      <c r="AG110" s="7" t="s">
        <v>56</v>
      </c>
      <c r="AH110" s="7">
        <v>8383</v>
      </c>
      <c r="AI110" s="10" t="s">
        <v>59</v>
      </c>
      <c r="AJ110" s="7" t="s">
        <v>543</v>
      </c>
      <c r="AK110" s="7"/>
      <c r="AL110" s="7"/>
      <c r="AM110" s="7"/>
      <c r="AN110" s="7" t="s">
        <v>544</v>
      </c>
      <c r="AO110" s="7" t="b">
        <v>1</v>
      </c>
      <c r="AP110" s="7">
        <v>1</v>
      </c>
      <c r="AQ110" s="7">
        <v>1</v>
      </c>
      <c r="AR110" s="10" t="s">
        <v>62</v>
      </c>
    </row>
    <row r="111">
      <c r="A111" s="7">
        <v>109</v>
      </c>
      <c r="B111" s="7" t="s">
        <v>545</v>
      </c>
      <c r="C111" s="8" t="s">
        <v>46</v>
      </c>
      <c r="D111" s="7" t="s">
        <v>47</v>
      </c>
      <c r="E111" s="9">
        <v>1.01</v>
      </c>
      <c r="F111" s="7" t="s">
        <v>86</v>
      </c>
      <c r="G111" s="7" t="s">
        <v>120</v>
      </c>
      <c r="H111" s="7" t="s">
        <v>50</v>
      </c>
      <c r="I111" s="7" t="s">
        <v>50</v>
      </c>
      <c r="J111" s="9" t="s">
        <v>50</v>
      </c>
      <c r="K111" s="9" t="s">
        <v>51</v>
      </c>
      <c r="L111" s="9">
        <v>41.35</v>
      </c>
      <c r="M111" s="9">
        <v>8300</v>
      </c>
      <c r="N111" s="7">
        <v>4867.95</v>
      </c>
      <c r="O111" s="9">
        <f>M111*(100-L111)/100*E111</f>
      </c>
      <c r="P111" s="7" t="s">
        <v>52</v>
      </c>
      <c r="Q111" s="7">
        <v>6.39</v>
      </c>
      <c r="R111" s="9">
        <v>6.36</v>
      </c>
      <c r="S111" s="7">
        <v>3.97</v>
      </c>
      <c r="T111" s="7" t="s">
        <v>546</v>
      </c>
      <c r="U111" s="7">
        <v>1.005</v>
      </c>
      <c r="V111" s="7">
        <v>62.3</v>
      </c>
      <c r="W111" s="7">
        <v>58</v>
      </c>
      <c r="X111" s="7" t="s">
        <v>54</v>
      </c>
      <c r="Y111" s="7" t="s">
        <v>55</v>
      </c>
      <c r="Z111" s="7" t="s">
        <v>56</v>
      </c>
      <c r="AA111" s="7" t="s">
        <v>56</v>
      </c>
      <c r="AB111" s="7" t="s">
        <v>547</v>
      </c>
      <c r="AC111" s="10" t="s">
        <v>50</v>
      </c>
      <c r="AD111" s="7" t="s">
        <v>56</v>
      </c>
      <c r="AE111" s="7" t="s">
        <v>56</v>
      </c>
      <c r="AF111" s="7" t="s">
        <v>56</v>
      </c>
      <c r="AG111" s="7" t="s">
        <v>56</v>
      </c>
      <c r="AH111" s="7">
        <v>8383</v>
      </c>
      <c r="AI111" s="10" t="s">
        <v>59</v>
      </c>
      <c r="AJ111" s="7" t="s">
        <v>548</v>
      </c>
      <c r="AK111" s="7"/>
      <c r="AL111" s="7"/>
      <c r="AM111" s="7"/>
      <c r="AN111" s="7" t="s">
        <v>549</v>
      </c>
      <c r="AO111" s="7" t="b">
        <v>1</v>
      </c>
      <c r="AP111" s="7">
        <v>1</v>
      </c>
      <c r="AQ111" s="7">
        <v>1</v>
      </c>
      <c r="AR111" s="10" t="s">
        <v>62</v>
      </c>
    </row>
    <row r="112">
      <c r="A112" s="7">
        <v>110</v>
      </c>
      <c r="B112" s="7" t="s">
        <v>550</v>
      </c>
      <c r="C112" s="8" t="s">
        <v>46</v>
      </c>
      <c r="D112" s="7" t="s">
        <v>47</v>
      </c>
      <c r="E112" s="9">
        <v>1.01</v>
      </c>
      <c r="F112" s="7" t="s">
        <v>86</v>
      </c>
      <c r="G112" s="7" t="s">
        <v>141</v>
      </c>
      <c r="H112" s="7" t="s">
        <v>50</v>
      </c>
      <c r="I112" s="7" t="s">
        <v>50</v>
      </c>
      <c r="J112" s="9" t="s">
        <v>50</v>
      </c>
      <c r="K112" s="9" t="s">
        <v>51</v>
      </c>
      <c r="L112" s="9">
        <v>42.38</v>
      </c>
      <c r="M112" s="9">
        <v>6900</v>
      </c>
      <c r="N112" s="7">
        <v>3975.78</v>
      </c>
      <c r="O112" s="9">
        <f>M112*(100-L112)/100*E112</f>
      </c>
      <c r="P112" s="7" t="s">
        <v>52</v>
      </c>
      <c r="Q112" s="7">
        <v>6.4</v>
      </c>
      <c r="R112" s="9">
        <v>6.35</v>
      </c>
      <c r="S112" s="7">
        <v>4.01</v>
      </c>
      <c r="T112" s="7" t="s">
        <v>551</v>
      </c>
      <c r="U112" s="7">
        <v>1.008</v>
      </c>
      <c r="V112" s="7">
        <v>62.8</v>
      </c>
      <c r="W112" s="7">
        <v>58</v>
      </c>
      <c r="X112" s="7" t="s">
        <v>54</v>
      </c>
      <c r="Y112" s="7" t="s">
        <v>55</v>
      </c>
      <c r="Z112" s="7" t="s">
        <v>56</v>
      </c>
      <c r="AA112" s="7" t="s">
        <v>57</v>
      </c>
      <c r="AB112" s="7" t="s">
        <v>552</v>
      </c>
      <c r="AC112" s="7" t="s">
        <v>56</v>
      </c>
      <c r="AD112" s="7" t="s">
        <v>56</v>
      </c>
      <c r="AE112" s="7" t="s">
        <v>56</v>
      </c>
      <c r="AF112" s="7" t="s">
        <v>56</v>
      </c>
      <c r="AG112" s="7" t="s">
        <v>56</v>
      </c>
      <c r="AH112" s="7">
        <v>6969</v>
      </c>
      <c r="AI112" s="10" t="s">
        <v>59</v>
      </c>
      <c r="AJ112" s="7" t="s">
        <v>553</v>
      </c>
      <c r="AK112" s="7"/>
      <c r="AL112" s="7"/>
      <c r="AM112" s="7"/>
      <c r="AN112" s="7" t="s">
        <v>554</v>
      </c>
      <c r="AO112" s="7" t="b">
        <v>1</v>
      </c>
      <c r="AP112" s="7">
        <v>1</v>
      </c>
      <c r="AQ112" s="7">
        <v>1</v>
      </c>
      <c r="AR112" s="10" t="s">
        <v>62</v>
      </c>
    </row>
    <row r="113">
      <c r="A113" s="7">
        <v>111</v>
      </c>
      <c r="B113" s="7" t="s">
        <v>555</v>
      </c>
      <c r="C113" s="8" t="s">
        <v>46</v>
      </c>
      <c r="D113" s="7" t="s">
        <v>47</v>
      </c>
      <c r="E113" s="9">
        <v>1.01</v>
      </c>
      <c r="F113" s="7" t="s">
        <v>86</v>
      </c>
      <c r="G113" s="7" t="s">
        <v>49</v>
      </c>
      <c r="H113" s="7" t="s">
        <v>50</v>
      </c>
      <c r="I113" s="7" t="s">
        <v>50</v>
      </c>
      <c r="J113" s="9" t="s">
        <v>50</v>
      </c>
      <c r="K113" s="9" t="s">
        <v>51</v>
      </c>
      <c r="L113" s="9">
        <v>39.55</v>
      </c>
      <c r="M113" s="9">
        <v>6900</v>
      </c>
      <c r="N113" s="7">
        <v>4171.05</v>
      </c>
      <c r="O113" s="9">
        <f>M113*(100-L113)/100*E113</f>
      </c>
      <c r="P113" s="7" t="s">
        <v>52</v>
      </c>
      <c r="Q113" s="7">
        <v>6.44</v>
      </c>
      <c r="R113" s="9">
        <v>6.39</v>
      </c>
      <c r="S113" s="7">
        <v>3.95</v>
      </c>
      <c r="T113" s="7" t="s">
        <v>556</v>
      </c>
      <c r="U113" s="7">
        <v>1.008</v>
      </c>
      <c r="V113" s="7">
        <v>61.5</v>
      </c>
      <c r="W113" s="7">
        <v>58</v>
      </c>
      <c r="X113" s="7" t="s">
        <v>54</v>
      </c>
      <c r="Y113" s="7" t="s">
        <v>55</v>
      </c>
      <c r="Z113" s="7" t="s">
        <v>56</v>
      </c>
      <c r="AA113" s="7" t="s">
        <v>56</v>
      </c>
      <c r="AB113" s="7" t="s">
        <v>148</v>
      </c>
      <c r="AC113" s="10" t="s">
        <v>105</v>
      </c>
      <c r="AD113" s="7" t="s">
        <v>56</v>
      </c>
      <c r="AE113" s="7" t="s">
        <v>56</v>
      </c>
      <c r="AF113" s="7" t="s">
        <v>56</v>
      </c>
      <c r="AG113" s="7" t="s">
        <v>56</v>
      </c>
      <c r="AH113" s="7">
        <v>6969</v>
      </c>
      <c r="AI113" s="10" t="s">
        <v>59</v>
      </c>
      <c r="AJ113" s="7" t="s">
        <v>557</v>
      </c>
      <c r="AK113" s="7"/>
      <c r="AL113" s="7"/>
      <c r="AM113" s="7"/>
      <c r="AN113" s="7" t="s">
        <v>558</v>
      </c>
      <c r="AO113" s="7" t="b">
        <v>1</v>
      </c>
      <c r="AP113" s="7">
        <v>1</v>
      </c>
      <c r="AQ113" s="7">
        <v>1</v>
      </c>
      <c r="AR113" s="10" t="s">
        <v>62</v>
      </c>
    </row>
    <row r="114">
      <c r="A114" s="7">
        <v>112</v>
      </c>
      <c r="B114" s="7" t="s">
        <v>559</v>
      </c>
      <c r="C114" s="8" t="s">
        <v>46</v>
      </c>
      <c r="D114" s="7" t="s">
        <v>47</v>
      </c>
      <c r="E114" s="9">
        <v>1.01</v>
      </c>
      <c r="F114" s="7" t="s">
        <v>86</v>
      </c>
      <c r="G114" s="7" t="s">
        <v>49</v>
      </c>
      <c r="H114" s="7" t="s">
        <v>50</v>
      </c>
      <c r="I114" s="7" t="s">
        <v>50</v>
      </c>
      <c r="J114" s="9" t="s">
        <v>50</v>
      </c>
      <c r="K114" s="9" t="s">
        <v>51</v>
      </c>
      <c r="L114" s="9">
        <v>43.15</v>
      </c>
      <c r="M114" s="9">
        <v>6900</v>
      </c>
      <c r="N114" s="7">
        <v>3922.65</v>
      </c>
      <c r="O114" s="9">
        <f>M114*(100-L114)/100*E114</f>
      </c>
      <c r="P114" s="7" t="s">
        <v>52</v>
      </c>
      <c r="Q114" s="7">
        <v>6.4</v>
      </c>
      <c r="R114" s="9">
        <v>6.35</v>
      </c>
      <c r="S114" s="7">
        <v>4</v>
      </c>
      <c r="T114" s="7" t="s">
        <v>560</v>
      </c>
      <c r="U114" s="7">
        <v>1.008</v>
      </c>
      <c r="V114" s="7">
        <v>62.7</v>
      </c>
      <c r="W114" s="7">
        <v>56</v>
      </c>
      <c r="X114" s="7" t="s">
        <v>302</v>
      </c>
      <c r="Y114" s="7" t="s">
        <v>302</v>
      </c>
      <c r="Z114" s="7" t="s">
        <v>302</v>
      </c>
      <c r="AA114" s="7" t="s">
        <v>302</v>
      </c>
      <c r="AB114" s="7" t="s">
        <v>561</v>
      </c>
      <c r="AC114" s="7" t="s">
        <v>302</v>
      </c>
      <c r="AD114" s="7" t="s">
        <v>302</v>
      </c>
      <c r="AE114" s="7" t="s">
        <v>302</v>
      </c>
      <c r="AF114" s="7" t="s">
        <v>302</v>
      </c>
      <c r="AG114" s="7" t="s">
        <v>302</v>
      </c>
      <c r="AH114" s="7">
        <v>6969</v>
      </c>
      <c r="AI114" s="10" t="s">
        <v>59</v>
      </c>
      <c r="AJ114" s="7" t="s">
        <v>562</v>
      </c>
      <c r="AK114" s="7"/>
      <c r="AL114" s="7"/>
      <c r="AM114" s="7"/>
      <c r="AN114" s="7" t="s">
        <v>563</v>
      </c>
      <c r="AO114" s="7" t="b">
        <v>1</v>
      </c>
      <c r="AP114" s="7">
        <v>1</v>
      </c>
      <c r="AQ114" s="7">
        <v>0</v>
      </c>
      <c r="AR114" s="10" t="s">
        <v>62</v>
      </c>
    </row>
    <row r="115">
      <c r="A115" s="7">
        <v>113</v>
      </c>
      <c r="B115" s="7" t="s">
        <v>564</v>
      </c>
      <c r="C115" s="8" t="s">
        <v>46</v>
      </c>
      <c r="D115" s="7" t="s">
        <v>47</v>
      </c>
      <c r="E115" s="9">
        <v>1.01</v>
      </c>
      <c r="F115" s="7" t="s">
        <v>86</v>
      </c>
      <c r="G115" s="7" t="s">
        <v>49</v>
      </c>
      <c r="H115" s="7" t="s">
        <v>50</v>
      </c>
      <c r="I115" s="7" t="s">
        <v>50</v>
      </c>
      <c r="J115" s="9" t="s">
        <v>50</v>
      </c>
      <c r="K115" s="9" t="s">
        <v>51</v>
      </c>
      <c r="L115" s="9">
        <v>43.15</v>
      </c>
      <c r="M115" s="9">
        <v>6900</v>
      </c>
      <c r="N115" s="7">
        <v>3922.65</v>
      </c>
      <c r="O115" s="9">
        <f>M115*(100-L115)/100*E115</f>
      </c>
      <c r="P115" s="7" t="s">
        <v>52</v>
      </c>
      <c r="Q115" s="7">
        <v>6.39</v>
      </c>
      <c r="R115" s="9">
        <v>6.35</v>
      </c>
      <c r="S115" s="7">
        <v>4</v>
      </c>
      <c r="T115" s="7" t="s">
        <v>565</v>
      </c>
      <c r="U115" s="7">
        <v>1.006</v>
      </c>
      <c r="V115" s="7">
        <v>62.8</v>
      </c>
      <c r="W115" s="7">
        <v>58</v>
      </c>
      <c r="X115" s="7" t="s">
        <v>54</v>
      </c>
      <c r="Y115" s="7" t="s">
        <v>55</v>
      </c>
      <c r="Z115" s="7" t="s">
        <v>56</v>
      </c>
      <c r="AA115" s="7" t="s">
        <v>56</v>
      </c>
      <c r="AB115" s="7" t="s">
        <v>566</v>
      </c>
      <c r="AC115" s="7" t="s">
        <v>56</v>
      </c>
      <c r="AD115" s="7" t="s">
        <v>56</v>
      </c>
      <c r="AE115" s="7" t="s">
        <v>56</v>
      </c>
      <c r="AF115" s="7" t="s">
        <v>123</v>
      </c>
      <c r="AG115" s="7" t="s">
        <v>123</v>
      </c>
      <c r="AH115" s="7">
        <v>6969</v>
      </c>
      <c r="AI115" s="10" t="s">
        <v>59</v>
      </c>
      <c r="AJ115" s="7" t="s">
        <v>567</v>
      </c>
      <c r="AK115" s="7"/>
      <c r="AL115" s="7"/>
      <c r="AM115" s="7"/>
      <c r="AN115" s="7" t="s">
        <v>568</v>
      </c>
      <c r="AO115" s="7" t="b">
        <v>1</v>
      </c>
      <c r="AP115" s="7">
        <v>1</v>
      </c>
      <c r="AQ115" s="7">
        <v>1</v>
      </c>
      <c r="AR115" s="10" t="s">
        <v>62</v>
      </c>
    </row>
    <row r="116">
      <c r="A116" s="7">
        <v>114</v>
      </c>
      <c r="B116" s="7" t="s">
        <v>569</v>
      </c>
      <c r="C116" s="8" t="s">
        <v>46</v>
      </c>
      <c r="D116" s="7" t="s">
        <v>47</v>
      </c>
      <c r="E116" s="9">
        <v>1.01</v>
      </c>
      <c r="F116" s="7" t="s">
        <v>86</v>
      </c>
      <c r="G116" s="7" t="s">
        <v>49</v>
      </c>
      <c r="H116" s="7" t="s">
        <v>50</v>
      </c>
      <c r="I116" s="7" t="s">
        <v>50</v>
      </c>
      <c r="J116" s="9" t="s">
        <v>50</v>
      </c>
      <c r="K116" s="9" t="s">
        <v>51</v>
      </c>
      <c r="L116" s="9">
        <v>43.92</v>
      </c>
      <c r="M116" s="9">
        <v>6900</v>
      </c>
      <c r="N116" s="7">
        <v>3869.52</v>
      </c>
      <c r="O116" s="9">
        <f>M116*(100-L116)/100*E116</f>
      </c>
      <c r="P116" s="7" t="s">
        <v>52</v>
      </c>
      <c r="Q116" s="7">
        <v>6.39</v>
      </c>
      <c r="R116" s="9">
        <v>6.36</v>
      </c>
      <c r="S116" s="7">
        <v>3.98</v>
      </c>
      <c r="T116" s="7" t="s">
        <v>570</v>
      </c>
      <c r="U116" s="7">
        <v>1.005</v>
      </c>
      <c r="V116" s="7">
        <v>62.5</v>
      </c>
      <c r="W116" s="7">
        <v>60</v>
      </c>
      <c r="X116" s="7" t="s">
        <v>54</v>
      </c>
      <c r="Y116" s="7" t="s">
        <v>55</v>
      </c>
      <c r="Z116" s="7" t="s">
        <v>123</v>
      </c>
      <c r="AA116" s="7" t="s">
        <v>56</v>
      </c>
      <c r="AB116" s="7" t="s">
        <v>571</v>
      </c>
      <c r="AC116" s="7" t="s">
        <v>56</v>
      </c>
      <c r="AD116" s="7" t="s">
        <v>56</v>
      </c>
      <c r="AE116" s="7" t="s">
        <v>56</v>
      </c>
      <c r="AF116" s="7" t="s">
        <v>56</v>
      </c>
      <c r="AG116" s="7" t="s">
        <v>56</v>
      </c>
      <c r="AH116" s="7">
        <v>6969</v>
      </c>
      <c r="AI116" s="10" t="s">
        <v>59</v>
      </c>
      <c r="AJ116" s="7" t="s">
        <v>572</v>
      </c>
      <c r="AK116" s="7"/>
      <c r="AL116" s="7"/>
      <c r="AM116" s="7"/>
      <c r="AN116" s="7" t="s">
        <v>573</v>
      </c>
      <c r="AO116" s="7" t="b">
        <v>1</v>
      </c>
      <c r="AP116" s="7">
        <v>1</v>
      </c>
      <c r="AQ116" s="7">
        <v>1</v>
      </c>
      <c r="AR116" s="10" t="s">
        <v>62</v>
      </c>
    </row>
    <row r="117">
      <c r="A117" s="7">
        <v>115</v>
      </c>
      <c r="B117" s="7" t="s">
        <v>574</v>
      </c>
      <c r="C117" s="8" t="s">
        <v>46</v>
      </c>
      <c r="D117" s="7" t="s">
        <v>47</v>
      </c>
      <c r="E117" s="9">
        <v>1.01</v>
      </c>
      <c r="F117" s="7" t="s">
        <v>86</v>
      </c>
      <c r="G117" s="7" t="s">
        <v>64</v>
      </c>
      <c r="H117" s="7" t="s">
        <v>50</v>
      </c>
      <c r="I117" s="7" t="s">
        <v>50</v>
      </c>
      <c r="J117" s="9" t="s">
        <v>50</v>
      </c>
      <c r="K117" s="9" t="s">
        <v>51</v>
      </c>
      <c r="L117" s="9">
        <v>42.64</v>
      </c>
      <c r="M117" s="9">
        <v>6900</v>
      </c>
      <c r="N117" s="7">
        <v>3957.84</v>
      </c>
      <c r="O117" s="9">
        <f>M117*(100-L117)/100*E117</f>
      </c>
      <c r="P117" s="7" t="s">
        <v>52</v>
      </c>
      <c r="Q117" s="7">
        <v>6.41</v>
      </c>
      <c r="R117" s="9">
        <v>6.37</v>
      </c>
      <c r="S117" s="7">
        <v>3.99</v>
      </c>
      <c r="T117" s="7" t="s">
        <v>575</v>
      </c>
      <c r="U117" s="7">
        <v>1.006</v>
      </c>
      <c r="V117" s="7">
        <v>62.4</v>
      </c>
      <c r="W117" s="7">
        <v>58</v>
      </c>
      <c r="X117" s="7" t="s">
        <v>54</v>
      </c>
      <c r="Y117" s="7" t="s">
        <v>55</v>
      </c>
      <c r="Z117" s="7" t="s">
        <v>57</v>
      </c>
      <c r="AA117" s="7" t="s">
        <v>56</v>
      </c>
      <c r="AB117" s="7" t="s">
        <v>534</v>
      </c>
      <c r="AC117" s="10" t="s">
        <v>105</v>
      </c>
      <c r="AD117" s="7" t="s">
        <v>56</v>
      </c>
      <c r="AE117" s="7" t="s">
        <v>56</v>
      </c>
      <c r="AF117" s="7" t="s">
        <v>56</v>
      </c>
      <c r="AG117" s="7" t="s">
        <v>56</v>
      </c>
      <c r="AH117" s="7">
        <v>6969</v>
      </c>
      <c r="AI117" s="10" t="s">
        <v>59</v>
      </c>
      <c r="AJ117" s="7" t="s">
        <v>576</v>
      </c>
      <c r="AK117" s="7"/>
      <c r="AL117" s="7"/>
      <c r="AM117" s="7"/>
      <c r="AN117" s="7" t="s">
        <v>577</v>
      </c>
      <c r="AO117" s="7" t="b">
        <v>1</v>
      </c>
      <c r="AP117" s="7">
        <v>1</v>
      </c>
      <c r="AQ117" s="7">
        <v>1</v>
      </c>
      <c r="AR117" s="10" t="s">
        <v>62</v>
      </c>
    </row>
    <row r="118">
      <c r="A118" s="7">
        <v>116</v>
      </c>
      <c r="B118" s="7" t="s">
        <v>578</v>
      </c>
      <c r="C118" s="8" t="s">
        <v>46</v>
      </c>
      <c r="D118" s="7" t="s">
        <v>47</v>
      </c>
      <c r="E118" s="9">
        <v>1.01</v>
      </c>
      <c r="F118" s="7" t="s">
        <v>86</v>
      </c>
      <c r="G118" s="7" t="s">
        <v>127</v>
      </c>
      <c r="H118" s="7" t="s">
        <v>50</v>
      </c>
      <c r="I118" s="7" t="s">
        <v>50</v>
      </c>
      <c r="J118" s="9" t="s">
        <v>50</v>
      </c>
      <c r="K118" s="9" t="s">
        <v>51</v>
      </c>
      <c r="L118" s="9">
        <v>45.47</v>
      </c>
      <c r="M118" s="9">
        <v>12800</v>
      </c>
      <c r="N118" s="7">
        <v>6979.84</v>
      </c>
      <c r="O118" s="9">
        <f>M118*(100-L118)/100*E118</f>
      </c>
      <c r="P118" s="7" t="s">
        <v>52</v>
      </c>
      <c r="Q118" s="7">
        <v>6.49</v>
      </c>
      <c r="R118" s="9">
        <v>6.46</v>
      </c>
      <c r="S118" s="7">
        <v>3.95</v>
      </c>
      <c r="T118" s="7" t="s">
        <v>579</v>
      </c>
      <c r="U118" s="7">
        <v>1.005</v>
      </c>
      <c r="V118" s="7">
        <v>61</v>
      </c>
      <c r="W118" s="7">
        <v>60</v>
      </c>
      <c r="X118" s="7" t="s">
        <v>54</v>
      </c>
      <c r="Y118" s="7" t="s">
        <v>55</v>
      </c>
      <c r="Z118" s="7" t="s">
        <v>56</v>
      </c>
      <c r="AA118" s="7" t="s">
        <v>56</v>
      </c>
      <c r="AB118" s="7" t="s">
        <v>72</v>
      </c>
      <c r="AC118" s="7" t="s">
        <v>56</v>
      </c>
      <c r="AD118" s="7" t="s">
        <v>56</v>
      </c>
      <c r="AE118" s="7" t="s">
        <v>56</v>
      </c>
      <c r="AF118" s="7" t="s">
        <v>56</v>
      </c>
      <c r="AG118" s="7" t="s">
        <v>56</v>
      </c>
      <c r="AH118" s="7">
        <v>12928</v>
      </c>
      <c r="AI118" s="10" t="s">
        <v>59</v>
      </c>
      <c r="AJ118" s="7" t="s">
        <v>580</v>
      </c>
      <c r="AK118" s="7"/>
      <c r="AL118" s="7"/>
      <c r="AM118" s="7"/>
      <c r="AN118" s="7" t="s">
        <v>581</v>
      </c>
      <c r="AO118" s="7" t="b">
        <v>1</v>
      </c>
      <c r="AP118" s="7">
        <v>1</v>
      </c>
      <c r="AQ118" s="7">
        <v>1</v>
      </c>
      <c r="AR118" s="10" t="s">
        <v>62</v>
      </c>
    </row>
    <row r="119">
      <c r="A119" s="7">
        <v>117</v>
      </c>
      <c r="B119" s="7" t="s">
        <v>582</v>
      </c>
      <c r="C119" s="8" t="s">
        <v>46</v>
      </c>
      <c r="D119" s="7" t="s">
        <v>47</v>
      </c>
      <c r="E119" s="9">
        <v>1.01</v>
      </c>
      <c r="F119" s="7" t="s">
        <v>86</v>
      </c>
      <c r="G119" s="7" t="s">
        <v>91</v>
      </c>
      <c r="H119" s="7" t="s">
        <v>50</v>
      </c>
      <c r="I119" s="7" t="s">
        <v>50</v>
      </c>
      <c r="J119" s="9" t="s">
        <v>50</v>
      </c>
      <c r="K119" s="9" t="s">
        <v>51</v>
      </c>
      <c r="L119" s="9">
        <v>44.18</v>
      </c>
      <c r="M119" s="9">
        <v>12800</v>
      </c>
      <c r="N119" s="7">
        <v>7144.96</v>
      </c>
      <c r="O119" s="9">
        <f>M119*(100-L119)/100*E119</f>
      </c>
      <c r="P119" s="7" t="s">
        <v>52</v>
      </c>
      <c r="Q119" s="7">
        <v>6.4</v>
      </c>
      <c r="R119" s="9">
        <v>6.37</v>
      </c>
      <c r="S119" s="7">
        <v>4.01</v>
      </c>
      <c r="T119" s="7" t="s">
        <v>583</v>
      </c>
      <c r="U119" s="7">
        <v>1.005</v>
      </c>
      <c r="V119" s="7">
        <v>62.9</v>
      </c>
      <c r="W119" s="7">
        <v>58</v>
      </c>
      <c r="X119" s="7" t="s">
        <v>54</v>
      </c>
      <c r="Y119" s="7" t="s">
        <v>55</v>
      </c>
      <c r="Z119" s="7" t="s">
        <v>56</v>
      </c>
      <c r="AA119" s="7" t="s">
        <v>56</v>
      </c>
      <c r="AB119" s="7" t="s">
        <v>93</v>
      </c>
      <c r="AC119" s="7" t="s">
        <v>56</v>
      </c>
      <c r="AD119" s="7" t="s">
        <v>56</v>
      </c>
      <c r="AE119" s="7" t="s">
        <v>56</v>
      </c>
      <c r="AF119" s="7" t="s">
        <v>56</v>
      </c>
      <c r="AG119" s="7" t="s">
        <v>56</v>
      </c>
      <c r="AH119" s="7">
        <v>12928</v>
      </c>
      <c r="AI119" s="10" t="s">
        <v>59</v>
      </c>
      <c r="AJ119" s="7" t="s">
        <v>584</v>
      </c>
      <c r="AK119" s="7"/>
      <c r="AL119" s="7"/>
      <c r="AM119" s="7"/>
      <c r="AN119" s="7" t="s">
        <v>585</v>
      </c>
      <c r="AO119" s="7" t="b">
        <v>1</v>
      </c>
      <c r="AP119" s="7">
        <v>1</v>
      </c>
      <c r="AQ119" s="7">
        <v>1</v>
      </c>
      <c r="AR119" s="10" t="s">
        <v>62</v>
      </c>
    </row>
    <row r="120">
      <c r="A120" s="7">
        <v>118</v>
      </c>
      <c r="B120" s="7" t="s">
        <v>586</v>
      </c>
      <c r="C120" s="8" t="s">
        <v>46</v>
      </c>
      <c r="D120" s="7" t="s">
        <v>47</v>
      </c>
      <c r="E120" s="9">
        <v>1.01</v>
      </c>
      <c r="F120" s="7" t="s">
        <v>86</v>
      </c>
      <c r="G120" s="7" t="s">
        <v>70</v>
      </c>
      <c r="H120" s="7" t="s">
        <v>50</v>
      </c>
      <c r="I120" s="7" t="s">
        <v>50</v>
      </c>
      <c r="J120" s="9" t="s">
        <v>50</v>
      </c>
      <c r="K120" s="9" t="s">
        <v>51</v>
      </c>
      <c r="L120" s="9">
        <v>42.64</v>
      </c>
      <c r="M120" s="9">
        <v>9700</v>
      </c>
      <c r="N120" s="7">
        <v>5563.92</v>
      </c>
      <c r="O120" s="9">
        <f>M120*(100-L120)/100*E120</f>
      </c>
      <c r="P120" s="7" t="s">
        <v>52</v>
      </c>
      <c r="Q120" s="7">
        <v>6.4</v>
      </c>
      <c r="R120" s="9">
        <v>6.37</v>
      </c>
      <c r="S120" s="7">
        <v>3.99</v>
      </c>
      <c r="T120" s="7" t="s">
        <v>587</v>
      </c>
      <c r="U120" s="7">
        <v>1.005</v>
      </c>
      <c r="V120" s="7">
        <v>62.5</v>
      </c>
      <c r="W120" s="7">
        <v>59</v>
      </c>
      <c r="X120" s="7" t="s">
        <v>54</v>
      </c>
      <c r="Y120" s="7" t="s">
        <v>55</v>
      </c>
      <c r="Z120" s="7" t="s">
        <v>56</v>
      </c>
      <c r="AA120" s="7" t="s">
        <v>56</v>
      </c>
      <c r="AB120" s="7" t="s">
        <v>78</v>
      </c>
      <c r="AC120" s="7" t="s">
        <v>56</v>
      </c>
      <c r="AD120" s="7" t="s">
        <v>56</v>
      </c>
      <c r="AE120" s="7" t="s">
        <v>56</v>
      </c>
      <c r="AF120" s="7" t="s">
        <v>56</v>
      </c>
      <c r="AG120" s="7" t="s">
        <v>56</v>
      </c>
      <c r="AH120" s="7">
        <v>9797</v>
      </c>
      <c r="AI120" s="10" t="s">
        <v>59</v>
      </c>
      <c r="AJ120" s="7" t="s">
        <v>588</v>
      </c>
      <c r="AK120" s="7"/>
      <c r="AL120" s="7"/>
      <c r="AM120" s="7"/>
      <c r="AN120" s="7" t="s">
        <v>589</v>
      </c>
      <c r="AO120" s="7" t="b">
        <v>1</v>
      </c>
      <c r="AP120" s="7">
        <v>1</v>
      </c>
      <c r="AQ120" s="7">
        <v>1</v>
      </c>
      <c r="AR120" s="10" t="s">
        <v>62</v>
      </c>
    </row>
    <row r="121">
      <c r="A121" s="7">
        <v>119</v>
      </c>
      <c r="B121" s="7" t="s">
        <v>590</v>
      </c>
      <c r="C121" s="8" t="s">
        <v>46</v>
      </c>
      <c r="D121" s="7" t="s">
        <v>47</v>
      </c>
      <c r="E121" s="9">
        <v>1.01</v>
      </c>
      <c r="F121" s="7" t="s">
        <v>86</v>
      </c>
      <c r="G121" s="7" t="s">
        <v>70</v>
      </c>
      <c r="H121" s="7" t="s">
        <v>50</v>
      </c>
      <c r="I121" s="7" t="s">
        <v>50</v>
      </c>
      <c r="J121" s="9" t="s">
        <v>50</v>
      </c>
      <c r="K121" s="9" t="s">
        <v>51</v>
      </c>
      <c r="L121" s="9">
        <v>43.92</v>
      </c>
      <c r="M121" s="9">
        <v>9700</v>
      </c>
      <c r="N121" s="7">
        <v>5439.76</v>
      </c>
      <c r="O121" s="9">
        <f>M121*(100-L121)/100*E121</f>
      </c>
      <c r="P121" s="7" t="s">
        <v>52</v>
      </c>
      <c r="Q121" s="7">
        <v>6.42</v>
      </c>
      <c r="R121" s="9">
        <v>6.38</v>
      </c>
      <c r="S121" s="7">
        <v>4.02</v>
      </c>
      <c r="T121" s="7" t="s">
        <v>591</v>
      </c>
      <c r="U121" s="7">
        <v>1.006</v>
      </c>
      <c r="V121" s="7">
        <v>62.7</v>
      </c>
      <c r="W121" s="7">
        <v>59</v>
      </c>
      <c r="X121" s="7" t="s">
        <v>54</v>
      </c>
      <c r="Y121" s="7" t="s">
        <v>55</v>
      </c>
      <c r="Z121" s="7" t="s">
        <v>56</v>
      </c>
      <c r="AA121" s="7" t="s">
        <v>56</v>
      </c>
      <c r="AB121" s="7" t="s">
        <v>78</v>
      </c>
      <c r="AC121" s="7" t="s">
        <v>56</v>
      </c>
      <c r="AD121" s="7" t="s">
        <v>56</v>
      </c>
      <c r="AE121" s="7" t="s">
        <v>56</v>
      </c>
      <c r="AF121" s="7" t="s">
        <v>56</v>
      </c>
      <c r="AG121" s="7" t="s">
        <v>56</v>
      </c>
      <c r="AH121" s="7">
        <v>9797</v>
      </c>
      <c r="AI121" s="10" t="s">
        <v>59</v>
      </c>
      <c r="AJ121" s="7" t="s">
        <v>592</v>
      </c>
      <c r="AK121" s="7"/>
      <c r="AL121" s="7"/>
      <c r="AM121" s="7"/>
      <c r="AN121" s="7" t="s">
        <v>593</v>
      </c>
      <c r="AO121" s="7" t="b">
        <v>1</v>
      </c>
      <c r="AP121" s="7">
        <v>1</v>
      </c>
      <c r="AQ121" s="7">
        <v>1</v>
      </c>
      <c r="AR121" s="10" t="s">
        <v>62</v>
      </c>
    </row>
    <row r="122">
      <c r="A122" s="7">
        <v>120</v>
      </c>
      <c r="B122" s="7" t="s">
        <v>594</v>
      </c>
      <c r="C122" s="8" t="s">
        <v>46</v>
      </c>
      <c r="D122" s="7" t="s">
        <v>47</v>
      </c>
      <c r="E122" s="9">
        <v>1.01</v>
      </c>
      <c r="F122" s="7" t="s">
        <v>86</v>
      </c>
      <c r="G122" s="7" t="s">
        <v>70</v>
      </c>
      <c r="H122" s="7" t="s">
        <v>50</v>
      </c>
      <c r="I122" s="7" t="s">
        <v>50</v>
      </c>
      <c r="J122" s="9" t="s">
        <v>50</v>
      </c>
      <c r="K122" s="9" t="s">
        <v>51</v>
      </c>
      <c r="L122" s="9">
        <v>42.64</v>
      </c>
      <c r="M122" s="9">
        <v>9700</v>
      </c>
      <c r="N122" s="7">
        <v>5563.92</v>
      </c>
      <c r="O122" s="9">
        <f>M122*(100-L122)/100*E122</f>
      </c>
      <c r="P122" s="7" t="s">
        <v>52</v>
      </c>
      <c r="Q122" s="7">
        <v>6.39</v>
      </c>
      <c r="R122" s="9">
        <v>6.35</v>
      </c>
      <c r="S122" s="7">
        <v>3.99</v>
      </c>
      <c r="T122" s="7" t="s">
        <v>595</v>
      </c>
      <c r="U122" s="7">
        <v>1.006</v>
      </c>
      <c r="V122" s="7">
        <v>62.6</v>
      </c>
      <c r="W122" s="7">
        <v>57</v>
      </c>
      <c r="X122" s="7" t="s">
        <v>54</v>
      </c>
      <c r="Y122" s="7" t="s">
        <v>55</v>
      </c>
      <c r="Z122" s="7" t="s">
        <v>56</v>
      </c>
      <c r="AA122" s="7" t="s">
        <v>56</v>
      </c>
      <c r="AB122" s="7" t="s">
        <v>78</v>
      </c>
      <c r="AC122" s="10" t="s">
        <v>105</v>
      </c>
      <c r="AD122" s="7" t="s">
        <v>56</v>
      </c>
      <c r="AE122" s="7" t="s">
        <v>56</v>
      </c>
      <c r="AF122" s="7" t="s">
        <v>56</v>
      </c>
      <c r="AG122" s="7" t="s">
        <v>56</v>
      </c>
      <c r="AH122" s="7">
        <v>9797</v>
      </c>
      <c r="AI122" s="10" t="s">
        <v>59</v>
      </c>
      <c r="AJ122" s="7" t="s">
        <v>596</v>
      </c>
      <c r="AK122" s="7"/>
      <c r="AL122" s="7"/>
      <c r="AM122" s="7"/>
      <c r="AN122" s="7" t="s">
        <v>597</v>
      </c>
      <c r="AO122" s="7" t="b">
        <v>1</v>
      </c>
      <c r="AP122" s="7">
        <v>1</v>
      </c>
      <c r="AQ122" s="7">
        <v>1</v>
      </c>
      <c r="AR122" s="10" t="s">
        <v>62</v>
      </c>
    </row>
    <row r="123">
      <c r="A123" s="7">
        <v>121</v>
      </c>
      <c r="B123" s="7" t="s">
        <v>598</v>
      </c>
      <c r="C123" s="8" t="s">
        <v>46</v>
      </c>
      <c r="D123" s="7" t="s">
        <v>47</v>
      </c>
      <c r="E123" s="9">
        <v>1.01</v>
      </c>
      <c r="F123" s="7" t="s">
        <v>86</v>
      </c>
      <c r="G123" s="7" t="s">
        <v>263</v>
      </c>
      <c r="H123" s="7" t="s">
        <v>50</v>
      </c>
      <c r="I123" s="7" t="s">
        <v>50</v>
      </c>
      <c r="J123" s="9" t="s">
        <v>50</v>
      </c>
      <c r="K123" s="9" t="s">
        <v>51</v>
      </c>
      <c r="L123" s="9">
        <v>42.38</v>
      </c>
      <c r="M123" s="9">
        <v>9700</v>
      </c>
      <c r="N123" s="7">
        <v>5589.14</v>
      </c>
      <c r="O123" s="9">
        <f>M123*(100-L123)/100*E123</f>
      </c>
      <c r="P123" s="7" t="s">
        <v>52</v>
      </c>
      <c r="Q123" s="7">
        <v>6.52</v>
      </c>
      <c r="R123" s="9">
        <v>6.48</v>
      </c>
      <c r="S123" s="7">
        <v>3.95</v>
      </c>
      <c r="T123" s="7" t="s">
        <v>599</v>
      </c>
      <c r="U123" s="7">
        <v>1.006</v>
      </c>
      <c r="V123" s="7">
        <v>60.8</v>
      </c>
      <c r="W123" s="7">
        <v>60</v>
      </c>
      <c r="X123" s="7" t="s">
        <v>54</v>
      </c>
      <c r="Y123" s="7" t="s">
        <v>55</v>
      </c>
      <c r="Z123" s="7" t="s">
        <v>56</v>
      </c>
      <c r="AA123" s="7" t="s">
        <v>56</v>
      </c>
      <c r="AB123" s="7" t="s">
        <v>78</v>
      </c>
      <c r="AC123" s="7" t="s">
        <v>56</v>
      </c>
      <c r="AD123" s="7" t="s">
        <v>56</v>
      </c>
      <c r="AE123" s="7" t="s">
        <v>56</v>
      </c>
      <c r="AF123" s="7" t="s">
        <v>56</v>
      </c>
      <c r="AG123" s="7" t="s">
        <v>56</v>
      </c>
      <c r="AH123" s="7">
        <v>9797</v>
      </c>
      <c r="AI123" s="10" t="s">
        <v>59</v>
      </c>
      <c r="AJ123" s="7" t="s">
        <v>600</v>
      </c>
      <c r="AK123" s="7"/>
      <c r="AL123" s="7"/>
      <c r="AM123" s="7"/>
      <c r="AN123" s="7" t="s">
        <v>601</v>
      </c>
      <c r="AO123" s="7" t="b">
        <v>1</v>
      </c>
      <c r="AP123" s="7">
        <v>1</v>
      </c>
      <c r="AQ123" s="7">
        <v>1</v>
      </c>
      <c r="AR123" s="10" t="s">
        <v>62</v>
      </c>
    </row>
    <row r="124">
      <c r="A124" s="7">
        <v>122</v>
      </c>
      <c r="B124" s="7" t="s">
        <v>602</v>
      </c>
      <c r="C124" s="8" t="s">
        <v>46</v>
      </c>
      <c r="D124" s="7" t="s">
        <v>47</v>
      </c>
      <c r="E124" s="9">
        <v>1.01</v>
      </c>
      <c r="F124" s="7" t="s">
        <v>119</v>
      </c>
      <c r="G124" s="7" t="s">
        <v>603</v>
      </c>
      <c r="H124" s="7" t="s">
        <v>50</v>
      </c>
      <c r="I124" s="7" t="s">
        <v>50</v>
      </c>
      <c r="J124" s="9" t="s">
        <v>50</v>
      </c>
      <c r="K124" s="9" t="s">
        <v>51</v>
      </c>
      <c r="L124" s="9">
        <v>44.44</v>
      </c>
      <c r="M124" s="9">
        <v>7500</v>
      </c>
      <c r="N124" s="7">
        <v>4167</v>
      </c>
      <c r="O124" s="9">
        <f>M124*(100-L124)/100*E124</f>
      </c>
      <c r="P124" s="7" t="s">
        <v>52</v>
      </c>
      <c r="Q124" s="7">
        <v>6.47</v>
      </c>
      <c r="R124" s="9">
        <v>6.44</v>
      </c>
      <c r="S124" s="7">
        <v>3.89</v>
      </c>
      <c r="T124" s="7" t="s">
        <v>604</v>
      </c>
      <c r="U124" s="7">
        <v>1.005</v>
      </c>
      <c r="V124" s="7">
        <v>60.3</v>
      </c>
      <c r="W124" s="7">
        <v>62</v>
      </c>
      <c r="X124" s="7" t="s">
        <v>265</v>
      </c>
      <c r="Y124" s="7" t="s">
        <v>56</v>
      </c>
      <c r="Z124" s="7" t="s">
        <v>56</v>
      </c>
      <c r="AA124" s="7" t="s">
        <v>56</v>
      </c>
      <c r="AB124" s="7" t="s">
        <v>330</v>
      </c>
      <c r="AC124" s="10" t="s">
        <v>73</v>
      </c>
      <c r="AD124" s="7" t="s">
        <v>56</v>
      </c>
      <c r="AE124" s="7" t="s">
        <v>56</v>
      </c>
      <c r="AF124" s="7" t="s">
        <v>56</v>
      </c>
      <c r="AG124" s="7" t="s">
        <v>56</v>
      </c>
      <c r="AH124" s="7">
        <v>7575</v>
      </c>
      <c r="AI124" s="10" t="s">
        <v>59</v>
      </c>
      <c r="AJ124" s="7" t="s">
        <v>605</v>
      </c>
      <c r="AK124" s="7"/>
      <c r="AL124" s="7"/>
      <c r="AM124" s="7"/>
      <c r="AN124" s="7" t="s">
        <v>606</v>
      </c>
      <c r="AO124" s="7" t="b">
        <v>1</v>
      </c>
      <c r="AP124" s="7">
        <v>1</v>
      </c>
      <c r="AQ124" s="7">
        <v>1</v>
      </c>
      <c r="AR124" s="10" t="s">
        <v>62</v>
      </c>
    </row>
    <row r="125">
      <c r="A125" s="7">
        <v>123</v>
      </c>
      <c r="B125" s="7" t="s">
        <v>607</v>
      </c>
      <c r="C125" s="8" t="s">
        <v>46</v>
      </c>
      <c r="D125" s="7" t="s">
        <v>47</v>
      </c>
      <c r="E125" s="9">
        <v>1.01</v>
      </c>
      <c r="F125" s="7" t="s">
        <v>119</v>
      </c>
      <c r="G125" s="7" t="s">
        <v>120</v>
      </c>
      <c r="H125" s="7" t="s">
        <v>50</v>
      </c>
      <c r="I125" s="7" t="s">
        <v>50</v>
      </c>
      <c r="J125" s="9" t="s">
        <v>50</v>
      </c>
      <c r="K125" s="9" t="s">
        <v>51</v>
      </c>
      <c r="L125" s="9">
        <v>45.47</v>
      </c>
      <c r="M125" s="9">
        <v>7500</v>
      </c>
      <c r="N125" s="7">
        <v>4089.75</v>
      </c>
      <c r="O125" s="9">
        <f>M125*(100-L125)/100*E125</f>
      </c>
      <c r="P125" s="7" t="s">
        <v>52</v>
      </c>
      <c r="Q125" s="7">
        <v>6.45</v>
      </c>
      <c r="R125" s="9">
        <v>6.4</v>
      </c>
      <c r="S125" s="7">
        <v>3.94</v>
      </c>
      <c r="T125" s="7" t="s">
        <v>608</v>
      </c>
      <c r="U125" s="7">
        <v>1.008</v>
      </c>
      <c r="V125" s="7">
        <v>61.4</v>
      </c>
      <c r="W125" s="7">
        <v>61</v>
      </c>
      <c r="X125" s="7" t="s">
        <v>54</v>
      </c>
      <c r="Y125" s="7" t="s">
        <v>55</v>
      </c>
      <c r="Z125" s="7" t="s">
        <v>56</v>
      </c>
      <c r="AA125" s="7" t="s">
        <v>56</v>
      </c>
      <c r="AB125" s="7" t="s">
        <v>609</v>
      </c>
      <c r="AC125" s="7" t="s">
        <v>56</v>
      </c>
      <c r="AD125" s="7" t="s">
        <v>56</v>
      </c>
      <c r="AE125" s="7" t="s">
        <v>56</v>
      </c>
      <c r="AF125" s="7" t="s">
        <v>123</v>
      </c>
      <c r="AG125" s="7" t="s">
        <v>56</v>
      </c>
      <c r="AH125" s="7">
        <v>7575</v>
      </c>
      <c r="AI125" s="10" t="s">
        <v>59</v>
      </c>
      <c r="AJ125" s="7" t="s">
        <v>610</v>
      </c>
      <c r="AK125" s="7"/>
      <c r="AL125" s="7"/>
      <c r="AM125" s="7"/>
      <c r="AN125" s="7" t="s">
        <v>611</v>
      </c>
      <c r="AO125" s="7" t="b">
        <v>1</v>
      </c>
      <c r="AP125" s="7">
        <v>1</v>
      </c>
      <c r="AQ125" s="7">
        <v>1</v>
      </c>
      <c r="AR125" s="10" t="s">
        <v>62</v>
      </c>
    </row>
    <row r="126">
      <c r="A126" s="7">
        <v>124</v>
      </c>
      <c r="B126" s="7" t="s">
        <v>612</v>
      </c>
      <c r="C126" s="8" t="s">
        <v>46</v>
      </c>
      <c r="D126" s="7" t="s">
        <v>47</v>
      </c>
      <c r="E126" s="9">
        <v>1.01</v>
      </c>
      <c r="F126" s="7" t="s">
        <v>119</v>
      </c>
      <c r="G126" s="7" t="s">
        <v>49</v>
      </c>
      <c r="H126" s="7" t="s">
        <v>50</v>
      </c>
      <c r="I126" s="7" t="s">
        <v>50</v>
      </c>
      <c r="J126" s="9" t="s">
        <v>50</v>
      </c>
      <c r="K126" s="9" t="s">
        <v>51</v>
      </c>
      <c r="L126" s="9">
        <v>45.21</v>
      </c>
      <c r="M126" s="9">
        <v>6200</v>
      </c>
      <c r="N126" s="7">
        <v>3396.98</v>
      </c>
      <c r="O126" s="9">
        <f>M126*(100-L126)/100*E126</f>
      </c>
      <c r="P126" s="7" t="s">
        <v>52</v>
      </c>
      <c r="Q126" s="7">
        <v>6.4</v>
      </c>
      <c r="R126" s="9">
        <v>6.37</v>
      </c>
      <c r="S126" s="7">
        <v>3.95</v>
      </c>
      <c r="T126" s="7" t="s">
        <v>613</v>
      </c>
      <c r="U126" s="7">
        <v>1.005</v>
      </c>
      <c r="V126" s="7">
        <v>61.8</v>
      </c>
      <c r="W126" s="7">
        <v>61</v>
      </c>
      <c r="X126" s="7" t="s">
        <v>54</v>
      </c>
      <c r="Y126" s="7" t="s">
        <v>55</v>
      </c>
      <c r="Z126" s="7" t="s">
        <v>57</v>
      </c>
      <c r="AA126" s="7" t="s">
        <v>56</v>
      </c>
      <c r="AB126" s="7" t="s">
        <v>408</v>
      </c>
      <c r="AC126" s="10" t="s">
        <v>105</v>
      </c>
      <c r="AD126" s="7" t="s">
        <v>56</v>
      </c>
      <c r="AE126" s="7" t="s">
        <v>56</v>
      </c>
      <c r="AF126" s="7" t="s">
        <v>56</v>
      </c>
      <c r="AG126" s="7" t="s">
        <v>56</v>
      </c>
      <c r="AH126" s="7">
        <v>6262</v>
      </c>
      <c r="AI126" s="10" t="s">
        <v>59</v>
      </c>
      <c r="AJ126" s="7" t="s">
        <v>614</v>
      </c>
      <c r="AK126" s="7"/>
      <c r="AL126" s="7"/>
      <c r="AM126" s="7"/>
      <c r="AN126" s="7" t="s">
        <v>615</v>
      </c>
      <c r="AO126" s="7" t="b">
        <v>1</v>
      </c>
      <c r="AP126" s="7">
        <v>1</v>
      </c>
      <c r="AQ126" s="7">
        <v>1</v>
      </c>
      <c r="AR126" s="10" t="s">
        <v>62</v>
      </c>
    </row>
    <row r="127">
      <c r="A127" s="7">
        <v>125</v>
      </c>
      <c r="B127" s="7" t="s">
        <v>616</v>
      </c>
      <c r="C127" s="8" t="s">
        <v>46</v>
      </c>
      <c r="D127" s="7" t="s">
        <v>47</v>
      </c>
      <c r="E127" s="9">
        <v>1.01</v>
      </c>
      <c r="F127" s="7" t="s">
        <v>119</v>
      </c>
      <c r="G127" s="7" t="s">
        <v>91</v>
      </c>
      <c r="H127" s="7" t="s">
        <v>50</v>
      </c>
      <c r="I127" s="7" t="s">
        <v>50</v>
      </c>
      <c r="J127" s="9" t="s">
        <v>50</v>
      </c>
      <c r="K127" s="9" t="s">
        <v>51</v>
      </c>
      <c r="L127" s="9">
        <v>45.21</v>
      </c>
      <c r="M127" s="9">
        <v>11100</v>
      </c>
      <c r="N127" s="7">
        <v>6081.69</v>
      </c>
      <c r="O127" s="9">
        <f>M127*(100-L127)/100*E127</f>
      </c>
      <c r="P127" s="7" t="s">
        <v>52</v>
      </c>
      <c r="Q127" s="7">
        <v>6.4</v>
      </c>
      <c r="R127" s="9">
        <v>6.36</v>
      </c>
      <c r="S127" s="7">
        <v>4</v>
      </c>
      <c r="T127" s="7" t="s">
        <v>617</v>
      </c>
      <c r="U127" s="7">
        <v>1.006</v>
      </c>
      <c r="V127" s="7">
        <v>62.7</v>
      </c>
      <c r="W127" s="7">
        <v>57</v>
      </c>
      <c r="X127" s="7" t="s">
        <v>54</v>
      </c>
      <c r="Y127" s="7" t="s">
        <v>55</v>
      </c>
      <c r="Z127" s="7" t="s">
        <v>56</v>
      </c>
      <c r="AA127" s="7" t="s">
        <v>56</v>
      </c>
      <c r="AB127" s="7" t="s">
        <v>115</v>
      </c>
      <c r="AC127" s="7" t="s">
        <v>56</v>
      </c>
      <c r="AD127" s="7" t="s">
        <v>56</v>
      </c>
      <c r="AE127" s="7" t="s">
        <v>56</v>
      </c>
      <c r="AF127" s="7" t="s">
        <v>56</v>
      </c>
      <c r="AG127" s="7" t="s">
        <v>56</v>
      </c>
      <c r="AH127" s="7">
        <v>11211</v>
      </c>
      <c r="AI127" s="10" t="s">
        <v>59</v>
      </c>
      <c r="AJ127" s="7" t="s">
        <v>618</v>
      </c>
      <c r="AK127" s="7"/>
      <c r="AL127" s="7"/>
      <c r="AM127" s="7"/>
      <c r="AN127" s="7" t="s">
        <v>619</v>
      </c>
      <c r="AO127" s="7" t="b">
        <v>1</v>
      </c>
      <c r="AP127" s="7">
        <v>1</v>
      </c>
      <c r="AQ127" s="7">
        <v>1</v>
      </c>
      <c r="AR127" s="10" t="s">
        <v>62</v>
      </c>
    </row>
    <row r="128">
      <c r="A128" s="7">
        <v>126</v>
      </c>
      <c r="B128" s="7" t="s">
        <v>620</v>
      </c>
      <c r="C128" s="8" t="s">
        <v>46</v>
      </c>
      <c r="D128" s="7" t="s">
        <v>47</v>
      </c>
      <c r="E128" s="9">
        <v>1.01</v>
      </c>
      <c r="F128" s="7" t="s">
        <v>119</v>
      </c>
      <c r="G128" s="7" t="s">
        <v>91</v>
      </c>
      <c r="H128" s="7" t="s">
        <v>50</v>
      </c>
      <c r="I128" s="7" t="s">
        <v>50</v>
      </c>
      <c r="J128" s="9" t="s">
        <v>50</v>
      </c>
      <c r="K128" s="9" t="s">
        <v>51</v>
      </c>
      <c r="L128" s="9">
        <v>45.72</v>
      </c>
      <c r="M128" s="9">
        <v>11100</v>
      </c>
      <c r="N128" s="7">
        <v>6025.08</v>
      </c>
      <c r="O128" s="9">
        <f>M128*(100-L128)/100*E128</f>
      </c>
      <c r="P128" s="7" t="s">
        <v>52</v>
      </c>
      <c r="Q128" s="7">
        <v>6.47</v>
      </c>
      <c r="R128" s="9">
        <v>6.43</v>
      </c>
      <c r="S128" s="7">
        <v>3.95</v>
      </c>
      <c r="T128" s="7" t="s">
        <v>621</v>
      </c>
      <c r="U128" s="7">
        <v>1.006</v>
      </c>
      <c r="V128" s="7">
        <v>61.2</v>
      </c>
      <c r="W128" s="7">
        <v>60</v>
      </c>
      <c r="X128" s="7" t="s">
        <v>54</v>
      </c>
      <c r="Y128" s="7" t="s">
        <v>55</v>
      </c>
      <c r="Z128" s="7" t="s">
        <v>56</v>
      </c>
      <c r="AA128" s="7" t="s">
        <v>56</v>
      </c>
      <c r="AB128" s="7" t="s">
        <v>93</v>
      </c>
      <c r="AC128" s="7" t="s">
        <v>56</v>
      </c>
      <c r="AD128" s="7" t="s">
        <v>56</v>
      </c>
      <c r="AE128" s="7" t="s">
        <v>56</v>
      </c>
      <c r="AF128" s="7" t="s">
        <v>56</v>
      </c>
      <c r="AG128" s="7" t="s">
        <v>56</v>
      </c>
      <c r="AH128" s="7">
        <v>11211</v>
      </c>
      <c r="AI128" s="10" t="s">
        <v>59</v>
      </c>
      <c r="AJ128" s="7" t="s">
        <v>622</v>
      </c>
      <c r="AK128" s="7"/>
      <c r="AL128" s="7"/>
      <c r="AM128" s="7"/>
      <c r="AN128" s="7" t="s">
        <v>623</v>
      </c>
      <c r="AO128" s="7" t="b">
        <v>1</v>
      </c>
      <c r="AP128" s="7">
        <v>1</v>
      </c>
      <c r="AQ128" s="7">
        <v>1</v>
      </c>
      <c r="AR128" s="10" t="s">
        <v>62</v>
      </c>
    </row>
    <row r="129">
      <c r="A129" s="7">
        <v>127</v>
      </c>
      <c r="B129" s="7" t="s">
        <v>624</v>
      </c>
      <c r="C129" s="8" t="s">
        <v>46</v>
      </c>
      <c r="D129" s="7" t="s">
        <v>47</v>
      </c>
      <c r="E129" s="9">
        <v>1.01</v>
      </c>
      <c r="F129" s="7" t="s">
        <v>119</v>
      </c>
      <c r="G129" s="7" t="s">
        <v>70</v>
      </c>
      <c r="H129" s="7" t="s">
        <v>50</v>
      </c>
      <c r="I129" s="7" t="s">
        <v>50</v>
      </c>
      <c r="J129" s="9" t="s">
        <v>50</v>
      </c>
      <c r="K129" s="9" t="s">
        <v>51</v>
      </c>
      <c r="L129" s="9">
        <v>46.24</v>
      </c>
      <c r="M129" s="9">
        <v>8800</v>
      </c>
      <c r="N129" s="7">
        <v>4730.88</v>
      </c>
      <c r="O129" s="9">
        <f>M129*(100-L129)/100*E129</f>
      </c>
      <c r="P129" s="7" t="s">
        <v>52</v>
      </c>
      <c r="Q129" s="7">
        <v>6.43</v>
      </c>
      <c r="R129" s="9">
        <v>6.38</v>
      </c>
      <c r="S129" s="7">
        <v>3.99</v>
      </c>
      <c r="T129" s="7" t="s">
        <v>625</v>
      </c>
      <c r="U129" s="7">
        <v>1.008</v>
      </c>
      <c r="V129" s="7">
        <v>62.3</v>
      </c>
      <c r="W129" s="7">
        <v>60</v>
      </c>
      <c r="X129" s="7" t="s">
        <v>54</v>
      </c>
      <c r="Y129" s="7" t="s">
        <v>55</v>
      </c>
      <c r="Z129" s="7" t="s">
        <v>56</v>
      </c>
      <c r="AA129" s="7" t="s">
        <v>56</v>
      </c>
      <c r="AB129" s="7" t="s">
        <v>78</v>
      </c>
      <c r="AC129" s="7" t="s">
        <v>56</v>
      </c>
      <c r="AD129" s="7" t="s">
        <v>56</v>
      </c>
      <c r="AE129" s="7" t="s">
        <v>56</v>
      </c>
      <c r="AF129" s="7" t="s">
        <v>56</v>
      </c>
      <c r="AG129" s="7" t="s">
        <v>56</v>
      </c>
      <c r="AH129" s="7">
        <v>8888</v>
      </c>
      <c r="AI129" s="10" t="s">
        <v>59</v>
      </c>
      <c r="AJ129" s="7" t="s">
        <v>626</v>
      </c>
      <c r="AK129" s="7"/>
      <c r="AL129" s="7"/>
      <c r="AM129" s="7"/>
      <c r="AN129" s="7" t="s">
        <v>627</v>
      </c>
      <c r="AO129" s="7" t="b">
        <v>1</v>
      </c>
      <c r="AP129" s="7">
        <v>1</v>
      </c>
      <c r="AQ129" s="7">
        <v>1</v>
      </c>
      <c r="AR129" s="10" t="s">
        <v>62</v>
      </c>
    </row>
    <row r="130">
      <c r="A130" s="7">
        <v>128</v>
      </c>
      <c r="B130" s="7" t="s">
        <v>628</v>
      </c>
      <c r="C130" s="8" t="s">
        <v>46</v>
      </c>
      <c r="D130" s="7" t="s">
        <v>47</v>
      </c>
      <c r="E130" s="9">
        <v>1.01</v>
      </c>
      <c r="F130" s="7" t="s">
        <v>136</v>
      </c>
      <c r="G130" s="7" t="s">
        <v>49</v>
      </c>
      <c r="H130" s="7" t="s">
        <v>50</v>
      </c>
      <c r="I130" s="7" t="s">
        <v>50</v>
      </c>
      <c r="J130" s="9" t="s">
        <v>50</v>
      </c>
      <c r="K130" s="9" t="s">
        <v>51</v>
      </c>
      <c r="L130" s="9">
        <v>44.95</v>
      </c>
      <c r="M130" s="9">
        <v>6200</v>
      </c>
      <c r="N130" s="7">
        <v>3413.1</v>
      </c>
      <c r="O130" s="9">
        <f>M130*(100-L130)/100*E130</f>
      </c>
      <c r="P130" s="7" t="s">
        <v>52</v>
      </c>
      <c r="Q130" s="7">
        <v>6.39</v>
      </c>
      <c r="R130" s="9">
        <v>6.36</v>
      </c>
      <c r="S130" s="7">
        <v>3.98</v>
      </c>
      <c r="T130" s="7" t="s">
        <v>629</v>
      </c>
      <c r="U130" s="7">
        <v>1.005</v>
      </c>
      <c r="V130" s="7">
        <v>62.5</v>
      </c>
      <c r="W130" s="7">
        <v>59</v>
      </c>
      <c r="X130" s="7" t="s">
        <v>54</v>
      </c>
      <c r="Y130" s="7" t="s">
        <v>55</v>
      </c>
      <c r="Z130" s="7" t="s">
        <v>57</v>
      </c>
      <c r="AA130" s="7" t="s">
        <v>56</v>
      </c>
      <c r="AB130" s="7" t="s">
        <v>312</v>
      </c>
      <c r="AC130" s="7" t="s">
        <v>56</v>
      </c>
      <c r="AD130" s="7" t="s">
        <v>56</v>
      </c>
      <c r="AE130" s="7" t="s">
        <v>56</v>
      </c>
      <c r="AF130" s="7" t="s">
        <v>56</v>
      </c>
      <c r="AG130" s="7" t="s">
        <v>56</v>
      </c>
      <c r="AH130" s="7">
        <v>6262</v>
      </c>
      <c r="AI130" s="10" t="s">
        <v>59</v>
      </c>
      <c r="AJ130" s="7" t="s">
        <v>630</v>
      </c>
      <c r="AK130" s="7"/>
      <c r="AL130" s="7"/>
      <c r="AM130" s="7"/>
      <c r="AN130" s="7" t="s">
        <v>631</v>
      </c>
      <c r="AO130" s="7" t="b">
        <v>1</v>
      </c>
      <c r="AP130" s="7">
        <v>1</v>
      </c>
      <c r="AQ130" s="7">
        <v>1</v>
      </c>
      <c r="AR130" s="10" t="s">
        <v>62</v>
      </c>
    </row>
    <row r="131">
      <c r="A131" s="7">
        <v>129</v>
      </c>
      <c r="B131" s="7" t="s">
        <v>632</v>
      </c>
      <c r="C131" s="8" t="s">
        <v>46</v>
      </c>
      <c r="D131" s="7" t="s">
        <v>47</v>
      </c>
      <c r="E131" s="9">
        <v>1.01</v>
      </c>
      <c r="F131" s="7" t="s">
        <v>136</v>
      </c>
      <c r="G131" s="7" t="s">
        <v>49</v>
      </c>
      <c r="H131" s="7" t="s">
        <v>50</v>
      </c>
      <c r="I131" s="7" t="s">
        <v>50</v>
      </c>
      <c r="J131" s="9" t="s">
        <v>50</v>
      </c>
      <c r="K131" s="9" t="s">
        <v>51</v>
      </c>
      <c r="L131" s="9">
        <v>43.92</v>
      </c>
      <c r="M131" s="9">
        <v>6200</v>
      </c>
      <c r="N131" s="7">
        <v>3476.96</v>
      </c>
      <c r="O131" s="9">
        <f>M131*(100-L131)/100*E131</f>
      </c>
      <c r="P131" s="7" t="s">
        <v>52</v>
      </c>
      <c r="Q131" s="7">
        <v>6.49</v>
      </c>
      <c r="R131" s="9">
        <v>6.46</v>
      </c>
      <c r="S131" s="7">
        <v>3.92</v>
      </c>
      <c r="T131" s="7" t="s">
        <v>633</v>
      </c>
      <c r="U131" s="7">
        <v>1.005</v>
      </c>
      <c r="V131" s="7">
        <v>60.6</v>
      </c>
      <c r="W131" s="7">
        <v>62</v>
      </c>
      <c r="X131" s="7" t="s">
        <v>54</v>
      </c>
      <c r="Y131" s="7" t="s">
        <v>55</v>
      </c>
      <c r="Z131" s="7" t="s">
        <v>57</v>
      </c>
      <c r="AA131" s="7" t="s">
        <v>56</v>
      </c>
      <c r="AB131" s="7" t="s">
        <v>148</v>
      </c>
      <c r="AC131" s="7" t="s">
        <v>56</v>
      </c>
      <c r="AD131" s="7" t="s">
        <v>56</v>
      </c>
      <c r="AE131" s="7" t="s">
        <v>56</v>
      </c>
      <c r="AF131" s="7" t="s">
        <v>56</v>
      </c>
      <c r="AG131" s="7" t="s">
        <v>56</v>
      </c>
      <c r="AH131" s="7">
        <v>6262</v>
      </c>
      <c r="AI131" s="10" t="s">
        <v>59</v>
      </c>
      <c r="AJ131" s="7" t="s">
        <v>634</v>
      </c>
      <c r="AK131" s="7"/>
      <c r="AL131" s="7"/>
      <c r="AM131" s="7"/>
      <c r="AN131" s="7" t="s">
        <v>635</v>
      </c>
      <c r="AO131" s="7" t="b">
        <v>1</v>
      </c>
      <c r="AP131" s="7">
        <v>1</v>
      </c>
      <c r="AQ131" s="7">
        <v>1</v>
      </c>
      <c r="AR131" s="10" t="s">
        <v>62</v>
      </c>
    </row>
    <row r="132">
      <c r="A132" s="7">
        <v>130</v>
      </c>
      <c r="B132" s="7" t="s">
        <v>636</v>
      </c>
      <c r="C132" s="8" t="s">
        <v>46</v>
      </c>
      <c r="D132" s="7" t="s">
        <v>47</v>
      </c>
      <c r="E132" s="9">
        <v>1.01</v>
      </c>
      <c r="F132" s="7" t="s">
        <v>136</v>
      </c>
      <c r="G132" s="7" t="s">
        <v>127</v>
      </c>
      <c r="H132" s="7" t="s">
        <v>50</v>
      </c>
      <c r="I132" s="7" t="s">
        <v>50</v>
      </c>
      <c r="J132" s="9" t="s">
        <v>50</v>
      </c>
      <c r="K132" s="9" t="s">
        <v>51</v>
      </c>
      <c r="L132" s="9">
        <v>44.95</v>
      </c>
      <c r="M132" s="9">
        <v>11100</v>
      </c>
      <c r="N132" s="7">
        <v>6110.55</v>
      </c>
      <c r="O132" s="9">
        <f>M132*(100-L132)/100*E132</f>
      </c>
      <c r="P132" s="7" t="s">
        <v>52</v>
      </c>
      <c r="Q132" s="7">
        <v>6.37</v>
      </c>
      <c r="R132" s="9">
        <v>6.33</v>
      </c>
      <c r="S132" s="7">
        <v>3.97</v>
      </c>
      <c r="T132" s="7" t="s">
        <v>637</v>
      </c>
      <c r="U132" s="7">
        <v>1.006</v>
      </c>
      <c r="V132" s="7">
        <v>62.5</v>
      </c>
      <c r="W132" s="7">
        <v>61</v>
      </c>
      <c r="X132" s="7" t="s">
        <v>54</v>
      </c>
      <c r="Y132" s="7" t="s">
        <v>55</v>
      </c>
      <c r="Z132" s="7" t="s">
        <v>56</v>
      </c>
      <c r="AA132" s="7" t="s">
        <v>56</v>
      </c>
      <c r="AB132" s="7" t="s">
        <v>93</v>
      </c>
      <c r="AC132" s="7" t="s">
        <v>56</v>
      </c>
      <c r="AD132" s="7" t="s">
        <v>56</v>
      </c>
      <c r="AE132" s="7" t="s">
        <v>56</v>
      </c>
      <c r="AF132" s="7" t="s">
        <v>56</v>
      </c>
      <c r="AG132" s="7" t="s">
        <v>56</v>
      </c>
      <c r="AH132" s="7">
        <v>11211</v>
      </c>
      <c r="AI132" s="10" t="s">
        <v>59</v>
      </c>
      <c r="AJ132" s="7" t="s">
        <v>638</v>
      </c>
      <c r="AK132" s="7"/>
      <c r="AL132" s="7"/>
      <c r="AM132" s="7"/>
      <c r="AN132" s="7" t="s">
        <v>639</v>
      </c>
      <c r="AO132" s="7" t="b">
        <v>1</v>
      </c>
      <c r="AP132" s="7">
        <v>1</v>
      </c>
      <c r="AQ132" s="7">
        <v>1</v>
      </c>
      <c r="AR132" s="10" t="s">
        <v>62</v>
      </c>
    </row>
    <row r="133">
      <c r="A133" s="7">
        <v>131</v>
      </c>
      <c r="B133" s="7" t="s">
        <v>640</v>
      </c>
      <c r="C133" s="8" t="s">
        <v>46</v>
      </c>
      <c r="D133" s="7" t="s">
        <v>47</v>
      </c>
      <c r="E133" s="9">
        <v>1.01</v>
      </c>
      <c r="F133" s="7" t="s">
        <v>136</v>
      </c>
      <c r="G133" s="7" t="s">
        <v>127</v>
      </c>
      <c r="H133" s="7" t="s">
        <v>50</v>
      </c>
      <c r="I133" s="7" t="s">
        <v>50</v>
      </c>
      <c r="J133" s="9" t="s">
        <v>50</v>
      </c>
      <c r="K133" s="9" t="s">
        <v>51</v>
      </c>
      <c r="L133" s="9">
        <v>44.95</v>
      </c>
      <c r="M133" s="9">
        <v>11100</v>
      </c>
      <c r="N133" s="7">
        <v>6110.55</v>
      </c>
      <c r="O133" s="9">
        <f>M133*(100-L133)/100*E133</f>
      </c>
      <c r="P133" s="7" t="s">
        <v>52</v>
      </c>
      <c r="Q133" s="7">
        <v>6.52</v>
      </c>
      <c r="R133" s="9">
        <v>6.48</v>
      </c>
      <c r="S133" s="7">
        <v>3.89</v>
      </c>
      <c r="T133" s="7" t="s">
        <v>641</v>
      </c>
      <c r="U133" s="7">
        <v>1.006</v>
      </c>
      <c r="V133" s="7">
        <v>59.8</v>
      </c>
      <c r="W133" s="7">
        <v>60</v>
      </c>
      <c r="X133" s="7" t="s">
        <v>54</v>
      </c>
      <c r="Y133" s="7" t="s">
        <v>55</v>
      </c>
      <c r="Z133" s="7" t="s">
        <v>56</v>
      </c>
      <c r="AA133" s="7" t="s">
        <v>56</v>
      </c>
      <c r="AB133" s="7" t="s">
        <v>78</v>
      </c>
      <c r="AC133" s="10" t="s">
        <v>105</v>
      </c>
      <c r="AD133" s="7" t="s">
        <v>56</v>
      </c>
      <c r="AE133" s="7" t="s">
        <v>56</v>
      </c>
      <c r="AF133" s="7" t="s">
        <v>56</v>
      </c>
      <c r="AG133" s="7" t="s">
        <v>56</v>
      </c>
      <c r="AH133" s="7">
        <v>11211</v>
      </c>
      <c r="AI133" s="10" t="s">
        <v>59</v>
      </c>
      <c r="AJ133" s="7" t="s">
        <v>642</v>
      </c>
      <c r="AK133" s="7"/>
      <c r="AL133" s="7"/>
      <c r="AM133" s="7"/>
      <c r="AN133" s="7" t="s">
        <v>643</v>
      </c>
      <c r="AO133" s="7" t="b">
        <v>1</v>
      </c>
      <c r="AP133" s="7">
        <v>1</v>
      </c>
      <c r="AQ133" s="7">
        <v>1</v>
      </c>
      <c r="AR133" s="10" t="s">
        <v>62</v>
      </c>
    </row>
    <row r="134">
      <c r="A134" s="7">
        <v>132</v>
      </c>
      <c r="B134" s="7" t="s">
        <v>644</v>
      </c>
      <c r="C134" s="8" t="s">
        <v>46</v>
      </c>
      <c r="D134" s="7" t="s">
        <v>47</v>
      </c>
      <c r="E134" s="9">
        <v>1.01</v>
      </c>
      <c r="F134" s="7" t="s">
        <v>136</v>
      </c>
      <c r="G134" s="7" t="s">
        <v>127</v>
      </c>
      <c r="H134" s="7" t="s">
        <v>50</v>
      </c>
      <c r="I134" s="7" t="s">
        <v>50</v>
      </c>
      <c r="J134" s="9" t="s">
        <v>50</v>
      </c>
      <c r="K134" s="9" t="s">
        <v>51</v>
      </c>
      <c r="L134" s="9">
        <v>44.95</v>
      </c>
      <c r="M134" s="9">
        <v>11100</v>
      </c>
      <c r="N134" s="7">
        <v>6110.55</v>
      </c>
      <c r="O134" s="9">
        <f>M134*(100-L134)/100*E134</f>
      </c>
      <c r="P134" s="7" t="s">
        <v>52</v>
      </c>
      <c r="Q134" s="7">
        <v>6.4</v>
      </c>
      <c r="R134" s="9">
        <v>6.36</v>
      </c>
      <c r="S134" s="7">
        <v>3.96</v>
      </c>
      <c r="T134" s="7" t="s">
        <v>645</v>
      </c>
      <c r="U134" s="7">
        <v>1.006</v>
      </c>
      <c r="V134" s="7">
        <v>62.1</v>
      </c>
      <c r="W134" s="7">
        <v>58</v>
      </c>
      <c r="X134" s="7" t="s">
        <v>54</v>
      </c>
      <c r="Y134" s="7" t="s">
        <v>55</v>
      </c>
      <c r="Z134" s="7" t="s">
        <v>56</v>
      </c>
      <c r="AA134" s="7" t="s">
        <v>56</v>
      </c>
      <c r="AB134" s="7" t="s">
        <v>380</v>
      </c>
      <c r="AC134" s="10" t="s">
        <v>73</v>
      </c>
      <c r="AD134" s="7" t="s">
        <v>56</v>
      </c>
      <c r="AE134" s="7" t="s">
        <v>56</v>
      </c>
      <c r="AF134" s="7" t="s">
        <v>56</v>
      </c>
      <c r="AG134" s="7" t="s">
        <v>56</v>
      </c>
      <c r="AH134" s="7">
        <v>11211</v>
      </c>
      <c r="AI134" s="10" t="s">
        <v>59</v>
      </c>
      <c r="AJ134" s="7" t="s">
        <v>646</v>
      </c>
      <c r="AK134" s="7"/>
      <c r="AL134" s="7"/>
      <c r="AM134" s="7"/>
      <c r="AN134" s="7" t="s">
        <v>647</v>
      </c>
      <c r="AO134" s="7" t="b">
        <v>1</v>
      </c>
      <c r="AP134" s="7">
        <v>1</v>
      </c>
      <c r="AQ134" s="7">
        <v>1</v>
      </c>
      <c r="AR134" s="10" t="s">
        <v>62</v>
      </c>
    </row>
    <row r="135">
      <c r="A135" s="7">
        <v>133</v>
      </c>
      <c r="B135" s="7" t="s">
        <v>648</v>
      </c>
      <c r="C135" s="8" t="s">
        <v>46</v>
      </c>
      <c r="D135" s="7" t="s">
        <v>47</v>
      </c>
      <c r="E135" s="9">
        <v>1.01</v>
      </c>
      <c r="F135" s="7" t="s">
        <v>136</v>
      </c>
      <c r="G135" s="7" t="s">
        <v>91</v>
      </c>
      <c r="H135" s="7" t="s">
        <v>50</v>
      </c>
      <c r="I135" s="7" t="s">
        <v>50</v>
      </c>
      <c r="J135" s="9" t="s">
        <v>50</v>
      </c>
      <c r="K135" s="9" t="s">
        <v>51</v>
      </c>
      <c r="L135" s="9">
        <v>43.67</v>
      </c>
      <c r="M135" s="9">
        <v>11100</v>
      </c>
      <c r="N135" s="7">
        <v>6252.63</v>
      </c>
      <c r="O135" s="9">
        <f>M135*(100-L135)/100*E135</f>
      </c>
      <c r="P135" s="7" t="s">
        <v>52</v>
      </c>
      <c r="Q135" s="7">
        <v>6.43</v>
      </c>
      <c r="R135" s="9">
        <v>6.38</v>
      </c>
      <c r="S135" s="7">
        <v>3.99</v>
      </c>
      <c r="T135" s="7" t="s">
        <v>649</v>
      </c>
      <c r="U135" s="7">
        <v>1.008</v>
      </c>
      <c r="V135" s="7">
        <v>62.4</v>
      </c>
      <c r="W135" s="7">
        <v>60</v>
      </c>
      <c r="X135" s="7" t="s">
        <v>54</v>
      </c>
      <c r="Y135" s="7" t="s">
        <v>55</v>
      </c>
      <c r="Z135" s="7" t="s">
        <v>56</v>
      </c>
      <c r="AA135" s="7" t="s">
        <v>56</v>
      </c>
      <c r="AB135" s="7" t="s">
        <v>78</v>
      </c>
      <c r="AC135" s="7" t="s">
        <v>56</v>
      </c>
      <c r="AD135" s="7" t="s">
        <v>56</v>
      </c>
      <c r="AE135" s="7" t="s">
        <v>56</v>
      </c>
      <c r="AF135" s="7" t="s">
        <v>56</v>
      </c>
      <c r="AG135" s="7" t="s">
        <v>56</v>
      </c>
      <c r="AH135" s="7">
        <v>11211</v>
      </c>
      <c r="AI135" s="10" t="s">
        <v>59</v>
      </c>
      <c r="AJ135" s="7" t="s">
        <v>650</v>
      </c>
      <c r="AK135" s="7"/>
      <c r="AL135" s="7"/>
      <c r="AM135" s="7"/>
      <c r="AN135" s="7" t="s">
        <v>651</v>
      </c>
      <c r="AO135" s="7" t="b">
        <v>1</v>
      </c>
      <c r="AP135" s="7">
        <v>1</v>
      </c>
      <c r="AQ135" s="7">
        <v>1</v>
      </c>
      <c r="AR135" s="10" t="s">
        <v>62</v>
      </c>
    </row>
    <row r="136">
      <c r="A136" s="7">
        <v>134</v>
      </c>
      <c r="B136" s="7" t="s">
        <v>652</v>
      </c>
      <c r="C136" s="8" t="s">
        <v>46</v>
      </c>
      <c r="D136" s="7" t="s">
        <v>47</v>
      </c>
      <c r="E136" s="9">
        <v>1.01</v>
      </c>
      <c r="F136" s="7" t="s">
        <v>136</v>
      </c>
      <c r="G136" s="7" t="s">
        <v>91</v>
      </c>
      <c r="H136" s="7" t="s">
        <v>50</v>
      </c>
      <c r="I136" s="7" t="s">
        <v>50</v>
      </c>
      <c r="J136" s="9" t="s">
        <v>50</v>
      </c>
      <c r="K136" s="9" t="s">
        <v>51</v>
      </c>
      <c r="L136" s="9">
        <v>43.92</v>
      </c>
      <c r="M136" s="9">
        <v>11100</v>
      </c>
      <c r="N136" s="7">
        <v>6224.88</v>
      </c>
      <c r="O136" s="9">
        <f>M136*(100-L136)/100*E136</f>
      </c>
      <c r="P136" s="7" t="s">
        <v>52</v>
      </c>
      <c r="Q136" s="7">
        <v>6.48</v>
      </c>
      <c r="R136" s="9">
        <v>6.44</v>
      </c>
      <c r="S136" s="7">
        <v>3.89</v>
      </c>
      <c r="T136" s="7" t="s">
        <v>653</v>
      </c>
      <c r="U136" s="7">
        <v>1.006</v>
      </c>
      <c r="V136" s="7">
        <v>60.3</v>
      </c>
      <c r="W136" s="7">
        <v>61</v>
      </c>
      <c r="X136" s="7" t="s">
        <v>54</v>
      </c>
      <c r="Y136" s="7" t="s">
        <v>55</v>
      </c>
      <c r="Z136" s="7" t="s">
        <v>56</v>
      </c>
      <c r="AA136" s="7" t="s">
        <v>56</v>
      </c>
      <c r="AB136" s="7" t="s">
        <v>170</v>
      </c>
      <c r="AC136" s="10" t="s">
        <v>105</v>
      </c>
      <c r="AD136" s="7" t="s">
        <v>56</v>
      </c>
      <c r="AE136" s="7" t="s">
        <v>56</v>
      </c>
      <c r="AF136" s="7" t="s">
        <v>56</v>
      </c>
      <c r="AG136" s="7" t="s">
        <v>56</v>
      </c>
      <c r="AH136" s="7">
        <v>11211</v>
      </c>
      <c r="AI136" s="10" t="s">
        <v>59</v>
      </c>
      <c r="AJ136" s="7" t="s">
        <v>654</v>
      </c>
      <c r="AK136" s="7"/>
      <c r="AL136" s="7"/>
      <c r="AM136" s="7"/>
      <c r="AN136" s="7" t="s">
        <v>655</v>
      </c>
      <c r="AO136" s="7" t="b">
        <v>1</v>
      </c>
      <c r="AP136" s="7">
        <v>1</v>
      </c>
      <c r="AQ136" s="7">
        <v>1</v>
      </c>
      <c r="AR136" s="10" t="s">
        <v>62</v>
      </c>
    </row>
    <row r="137">
      <c r="A137" s="7">
        <v>135</v>
      </c>
      <c r="B137" s="7" t="s">
        <v>656</v>
      </c>
      <c r="C137" s="8" t="s">
        <v>46</v>
      </c>
      <c r="D137" s="7" t="s">
        <v>47</v>
      </c>
      <c r="E137" s="9">
        <v>1.01</v>
      </c>
      <c r="F137" s="7" t="s">
        <v>136</v>
      </c>
      <c r="G137" s="7" t="s">
        <v>91</v>
      </c>
      <c r="H137" s="7" t="s">
        <v>50</v>
      </c>
      <c r="I137" s="7" t="s">
        <v>50</v>
      </c>
      <c r="J137" s="9" t="s">
        <v>50</v>
      </c>
      <c r="K137" s="9" t="s">
        <v>51</v>
      </c>
      <c r="L137" s="9">
        <v>45.72</v>
      </c>
      <c r="M137" s="9">
        <v>11100</v>
      </c>
      <c r="N137" s="7">
        <v>6025.08</v>
      </c>
      <c r="O137" s="9">
        <f>M137*(100-L137)/100*E137</f>
      </c>
      <c r="P137" s="7" t="s">
        <v>52</v>
      </c>
      <c r="Q137" s="7">
        <v>6.47</v>
      </c>
      <c r="R137" s="9">
        <v>6.44</v>
      </c>
      <c r="S137" s="7">
        <v>3.96</v>
      </c>
      <c r="T137" s="7" t="s">
        <v>657</v>
      </c>
      <c r="U137" s="7">
        <v>1.005</v>
      </c>
      <c r="V137" s="7">
        <v>61.3</v>
      </c>
      <c r="W137" s="7">
        <v>59</v>
      </c>
      <c r="X137" s="7" t="s">
        <v>54</v>
      </c>
      <c r="Y137" s="7" t="s">
        <v>55</v>
      </c>
      <c r="Z137" s="7" t="s">
        <v>56</v>
      </c>
      <c r="AA137" s="7" t="s">
        <v>56</v>
      </c>
      <c r="AB137" s="7" t="s">
        <v>78</v>
      </c>
      <c r="AC137" s="10" t="s">
        <v>105</v>
      </c>
      <c r="AD137" s="7" t="s">
        <v>56</v>
      </c>
      <c r="AE137" s="7" t="s">
        <v>56</v>
      </c>
      <c r="AF137" s="7" t="s">
        <v>56</v>
      </c>
      <c r="AG137" s="7" t="s">
        <v>56</v>
      </c>
      <c r="AH137" s="7">
        <v>11211</v>
      </c>
      <c r="AI137" s="10" t="s">
        <v>59</v>
      </c>
      <c r="AJ137" s="7" t="s">
        <v>658</v>
      </c>
      <c r="AK137" s="7"/>
      <c r="AL137" s="7"/>
      <c r="AM137" s="7"/>
      <c r="AN137" s="7" t="s">
        <v>659</v>
      </c>
      <c r="AO137" s="7" t="b">
        <v>1</v>
      </c>
      <c r="AP137" s="7">
        <v>1</v>
      </c>
      <c r="AQ137" s="7">
        <v>1</v>
      </c>
      <c r="AR137" s="10" t="s">
        <v>62</v>
      </c>
    </row>
    <row r="138">
      <c r="A138" s="7">
        <v>136</v>
      </c>
      <c r="B138" s="7" t="s">
        <v>660</v>
      </c>
      <c r="C138" s="8" t="s">
        <v>46</v>
      </c>
      <c r="D138" s="7" t="s">
        <v>47</v>
      </c>
      <c r="E138" s="9">
        <v>1.01</v>
      </c>
      <c r="F138" s="7" t="s">
        <v>136</v>
      </c>
      <c r="G138" s="7" t="s">
        <v>70</v>
      </c>
      <c r="H138" s="7" t="s">
        <v>50</v>
      </c>
      <c r="I138" s="7" t="s">
        <v>50</v>
      </c>
      <c r="J138" s="9" t="s">
        <v>50</v>
      </c>
      <c r="K138" s="9" t="s">
        <v>51</v>
      </c>
      <c r="L138" s="9">
        <v>43.41</v>
      </c>
      <c r="M138" s="9">
        <v>8800</v>
      </c>
      <c r="N138" s="7">
        <v>4979.92</v>
      </c>
      <c r="O138" s="9">
        <f>M138*(100-L138)/100*E138</f>
      </c>
      <c r="P138" s="7" t="s">
        <v>52</v>
      </c>
      <c r="Q138" s="7">
        <v>6.38</v>
      </c>
      <c r="R138" s="9">
        <v>6.34</v>
      </c>
      <c r="S138" s="7">
        <v>3.99</v>
      </c>
      <c r="T138" s="7" t="s">
        <v>661</v>
      </c>
      <c r="U138" s="7">
        <v>1.006</v>
      </c>
      <c r="V138" s="7">
        <v>62.8</v>
      </c>
      <c r="W138" s="7">
        <v>59</v>
      </c>
      <c r="X138" s="7" t="s">
        <v>54</v>
      </c>
      <c r="Y138" s="7" t="s">
        <v>55</v>
      </c>
      <c r="Z138" s="7" t="s">
        <v>56</v>
      </c>
      <c r="AA138" s="7" t="s">
        <v>56</v>
      </c>
      <c r="AB138" s="7" t="s">
        <v>110</v>
      </c>
      <c r="AC138" s="7" t="s">
        <v>56</v>
      </c>
      <c r="AD138" s="7" t="s">
        <v>56</v>
      </c>
      <c r="AE138" s="7" t="s">
        <v>56</v>
      </c>
      <c r="AF138" s="7" t="s">
        <v>56</v>
      </c>
      <c r="AG138" s="7" t="s">
        <v>56</v>
      </c>
      <c r="AH138" s="7">
        <v>8888</v>
      </c>
      <c r="AI138" s="10" t="s">
        <v>59</v>
      </c>
      <c r="AJ138" s="7" t="s">
        <v>662</v>
      </c>
      <c r="AK138" s="7"/>
      <c r="AL138" s="7"/>
      <c r="AM138" s="7"/>
      <c r="AN138" s="7" t="s">
        <v>663</v>
      </c>
      <c r="AO138" s="7" t="b">
        <v>1</v>
      </c>
      <c r="AP138" s="7">
        <v>1</v>
      </c>
      <c r="AQ138" s="7">
        <v>1</v>
      </c>
      <c r="AR138" s="10" t="s">
        <v>62</v>
      </c>
    </row>
    <row r="139">
      <c r="A139" s="7">
        <v>137</v>
      </c>
      <c r="B139" s="7" t="s">
        <v>664</v>
      </c>
      <c r="C139" s="8" t="s">
        <v>46</v>
      </c>
      <c r="D139" s="7" t="s">
        <v>47</v>
      </c>
      <c r="E139" s="9">
        <v>1.01</v>
      </c>
      <c r="F139" s="7" t="s">
        <v>136</v>
      </c>
      <c r="G139" s="7" t="s">
        <v>70</v>
      </c>
      <c r="H139" s="7" t="s">
        <v>50</v>
      </c>
      <c r="I139" s="7" t="s">
        <v>50</v>
      </c>
      <c r="J139" s="9" t="s">
        <v>50</v>
      </c>
      <c r="K139" s="9" t="s">
        <v>51</v>
      </c>
      <c r="L139" s="9">
        <v>42.9</v>
      </c>
      <c r="M139" s="9">
        <v>8800</v>
      </c>
      <c r="N139" s="7">
        <v>5024.8</v>
      </c>
      <c r="O139" s="9">
        <f>M139*(100-L139)/100*E139</f>
      </c>
      <c r="P139" s="7" t="s">
        <v>52</v>
      </c>
      <c r="Q139" s="7">
        <v>6.41</v>
      </c>
      <c r="R139" s="9">
        <v>6.37</v>
      </c>
      <c r="S139" s="7">
        <v>4.01</v>
      </c>
      <c r="T139" s="7" t="s">
        <v>665</v>
      </c>
      <c r="U139" s="7">
        <v>1.006</v>
      </c>
      <c r="V139" s="7">
        <v>62.7</v>
      </c>
      <c r="W139" s="7">
        <v>59</v>
      </c>
      <c r="X139" s="7" t="s">
        <v>54</v>
      </c>
      <c r="Y139" s="7" t="s">
        <v>55</v>
      </c>
      <c r="Z139" s="7" t="s">
        <v>56</v>
      </c>
      <c r="AA139" s="7" t="s">
        <v>56</v>
      </c>
      <c r="AB139" s="7" t="s">
        <v>198</v>
      </c>
      <c r="AC139" s="7" t="s">
        <v>56</v>
      </c>
      <c r="AD139" s="7" t="s">
        <v>56</v>
      </c>
      <c r="AE139" s="7" t="s">
        <v>56</v>
      </c>
      <c r="AF139" s="7" t="s">
        <v>56</v>
      </c>
      <c r="AG139" s="7" t="s">
        <v>56</v>
      </c>
      <c r="AH139" s="7">
        <v>8888</v>
      </c>
      <c r="AI139" s="10" t="s">
        <v>59</v>
      </c>
      <c r="AJ139" s="7" t="s">
        <v>666</v>
      </c>
      <c r="AK139" s="7"/>
      <c r="AL139" s="7"/>
      <c r="AM139" s="7"/>
      <c r="AN139" s="7" t="s">
        <v>667</v>
      </c>
      <c r="AO139" s="7" t="b">
        <v>1</v>
      </c>
      <c r="AP139" s="7">
        <v>1</v>
      </c>
      <c r="AQ139" s="7">
        <v>1</v>
      </c>
      <c r="AR139" s="10" t="s">
        <v>62</v>
      </c>
    </row>
    <row r="140">
      <c r="A140" s="7">
        <v>138</v>
      </c>
      <c r="B140" s="7" t="s">
        <v>668</v>
      </c>
      <c r="C140" s="8" t="s">
        <v>46</v>
      </c>
      <c r="D140" s="7" t="s">
        <v>47</v>
      </c>
      <c r="E140" s="9">
        <v>1.01</v>
      </c>
      <c r="F140" s="7" t="s">
        <v>136</v>
      </c>
      <c r="G140" s="7" t="s">
        <v>70</v>
      </c>
      <c r="H140" s="7" t="s">
        <v>50</v>
      </c>
      <c r="I140" s="7" t="s">
        <v>50</v>
      </c>
      <c r="J140" s="9" t="s">
        <v>50</v>
      </c>
      <c r="K140" s="9" t="s">
        <v>51</v>
      </c>
      <c r="L140" s="9">
        <v>42.64</v>
      </c>
      <c r="M140" s="9">
        <v>8800</v>
      </c>
      <c r="N140" s="7">
        <v>5047.68</v>
      </c>
      <c r="O140" s="9">
        <f>M140*(100-L140)/100*E140</f>
      </c>
      <c r="P140" s="7" t="s">
        <v>52</v>
      </c>
      <c r="Q140" s="7">
        <v>6.39</v>
      </c>
      <c r="R140" s="9">
        <v>6.35</v>
      </c>
      <c r="S140" s="7">
        <v>3.99</v>
      </c>
      <c r="T140" s="7" t="s">
        <v>669</v>
      </c>
      <c r="U140" s="7">
        <v>1.006</v>
      </c>
      <c r="V140" s="7">
        <v>62.6</v>
      </c>
      <c r="W140" s="7">
        <v>58</v>
      </c>
      <c r="X140" s="7" t="s">
        <v>54</v>
      </c>
      <c r="Y140" s="7" t="s">
        <v>55</v>
      </c>
      <c r="Z140" s="7" t="s">
        <v>56</v>
      </c>
      <c r="AA140" s="7" t="s">
        <v>56</v>
      </c>
      <c r="AB140" s="7" t="s">
        <v>78</v>
      </c>
      <c r="AC140" s="10" t="s">
        <v>105</v>
      </c>
      <c r="AD140" s="7" t="s">
        <v>56</v>
      </c>
      <c r="AE140" s="7" t="s">
        <v>56</v>
      </c>
      <c r="AF140" s="7" t="s">
        <v>56</v>
      </c>
      <c r="AG140" s="7" t="s">
        <v>56</v>
      </c>
      <c r="AH140" s="7">
        <v>8888</v>
      </c>
      <c r="AI140" s="10" t="s">
        <v>59</v>
      </c>
      <c r="AJ140" s="7" t="s">
        <v>670</v>
      </c>
      <c r="AK140" s="7"/>
      <c r="AL140" s="7"/>
      <c r="AM140" s="7"/>
      <c r="AN140" s="7" t="s">
        <v>671</v>
      </c>
      <c r="AO140" s="7" t="b">
        <v>1</v>
      </c>
      <c r="AP140" s="7">
        <v>1</v>
      </c>
      <c r="AQ140" s="7">
        <v>1</v>
      </c>
      <c r="AR140" s="10" t="s">
        <v>62</v>
      </c>
    </row>
    <row r="141">
      <c r="A141" s="7">
        <v>139</v>
      </c>
      <c r="B141" s="7" t="s">
        <v>672</v>
      </c>
      <c r="C141" s="8" t="s">
        <v>46</v>
      </c>
      <c r="D141" s="7" t="s">
        <v>47</v>
      </c>
      <c r="E141" s="9">
        <v>1.01</v>
      </c>
      <c r="F141" s="7" t="s">
        <v>183</v>
      </c>
      <c r="G141" s="7" t="s">
        <v>603</v>
      </c>
      <c r="H141" s="7" t="s">
        <v>50</v>
      </c>
      <c r="I141" s="7" t="s">
        <v>50</v>
      </c>
      <c r="J141" s="9" t="s">
        <v>50</v>
      </c>
      <c r="K141" s="9" t="s">
        <v>51</v>
      </c>
      <c r="L141" s="9">
        <v>42.12</v>
      </c>
      <c r="M141" s="9">
        <v>7500</v>
      </c>
      <c r="N141" s="7">
        <v>4341</v>
      </c>
      <c r="O141" s="9">
        <f>M141*(100-L141)/100*E141</f>
      </c>
      <c r="P141" s="7" t="s">
        <v>52</v>
      </c>
      <c r="Q141" s="7">
        <v>6.39</v>
      </c>
      <c r="R141" s="9">
        <v>6.35</v>
      </c>
      <c r="S141" s="7">
        <v>4.02</v>
      </c>
      <c r="T141" s="7" t="s">
        <v>673</v>
      </c>
      <c r="U141" s="7">
        <v>1.006</v>
      </c>
      <c r="V141" s="7">
        <v>63.1</v>
      </c>
      <c r="W141" s="7">
        <v>57</v>
      </c>
      <c r="X141" s="7" t="s">
        <v>54</v>
      </c>
      <c r="Y141" s="7" t="s">
        <v>55</v>
      </c>
      <c r="Z141" s="7" t="s">
        <v>56</v>
      </c>
      <c r="AA141" s="7" t="s">
        <v>56</v>
      </c>
      <c r="AB141" s="7" t="s">
        <v>234</v>
      </c>
      <c r="AC141" s="7" t="s">
        <v>56</v>
      </c>
      <c r="AD141" s="7" t="s">
        <v>56</v>
      </c>
      <c r="AE141" s="7" t="s">
        <v>56</v>
      </c>
      <c r="AF141" s="7" t="s">
        <v>56</v>
      </c>
      <c r="AG141" s="7" t="s">
        <v>56</v>
      </c>
      <c r="AH141" s="7">
        <v>7575</v>
      </c>
      <c r="AI141" s="10" t="s">
        <v>59</v>
      </c>
      <c r="AJ141" s="7" t="s">
        <v>674</v>
      </c>
      <c r="AK141" s="7"/>
      <c r="AL141" s="7"/>
      <c r="AM141" s="7"/>
      <c r="AN141" s="7" t="s">
        <v>675</v>
      </c>
      <c r="AO141" s="7" t="b">
        <v>1</v>
      </c>
      <c r="AP141" s="7">
        <v>1</v>
      </c>
      <c r="AQ141" s="7">
        <v>1</v>
      </c>
      <c r="AR141" s="10" t="s">
        <v>62</v>
      </c>
    </row>
    <row r="142">
      <c r="A142" s="7">
        <v>140</v>
      </c>
      <c r="B142" s="7" t="s">
        <v>676</v>
      </c>
      <c r="C142" s="8" t="s">
        <v>46</v>
      </c>
      <c r="D142" s="7" t="s">
        <v>47</v>
      </c>
      <c r="E142" s="9">
        <v>1.01</v>
      </c>
      <c r="F142" s="7" t="s">
        <v>183</v>
      </c>
      <c r="G142" s="7" t="s">
        <v>49</v>
      </c>
      <c r="H142" s="7" t="s">
        <v>50</v>
      </c>
      <c r="I142" s="7" t="s">
        <v>50</v>
      </c>
      <c r="J142" s="9" t="s">
        <v>50</v>
      </c>
      <c r="K142" s="9" t="s">
        <v>51</v>
      </c>
      <c r="L142" s="9">
        <v>44.18</v>
      </c>
      <c r="M142" s="9">
        <v>6200</v>
      </c>
      <c r="N142" s="7">
        <v>3460.84</v>
      </c>
      <c r="O142" s="9">
        <f>M142*(100-L142)/100*E142</f>
      </c>
      <c r="P142" s="7" t="s">
        <v>52</v>
      </c>
      <c r="Q142" s="7">
        <v>6.44</v>
      </c>
      <c r="R142" s="9">
        <v>6.41</v>
      </c>
      <c r="S142" s="7">
        <v>3.94</v>
      </c>
      <c r="T142" s="7" t="s">
        <v>677</v>
      </c>
      <c r="U142" s="7">
        <v>1.005</v>
      </c>
      <c r="V142" s="7">
        <v>61.3</v>
      </c>
      <c r="W142" s="7">
        <v>60</v>
      </c>
      <c r="X142" s="7" t="s">
        <v>54</v>
      </c>
      <c r="Y142" s="7" t="s">
        <v>55</v>
      </c>
      <c r="Z142" s="7" t="s">
        <v>56</v>
      </c>
      <c r="AA142" s="7" t="s">
        <v>56</v>
      </c>
      <c r="AB142" s="7" t="s">
        <v>678</v>
      </c>
      <c r="AC142" s="10" t="s">
        <v>105</v>
      </c>
      <c r="AD142" s="7" t="s">
        <v>56</v>
      </c>
      <c r="AE142" s="7" t="s">
        <v>56</v>
      </c>
      <c r="AF142" s="7" t="s">
        <v>123</v>
      </c>
      <c r="AG142" s="7" t="s">
        <v>56</v>
      </c>
      <c r="AH142" s="7">
        <v>6262</v>
      </c>
      <c r="AI142" s="10" t="s">
        <v>59</v>
      </c>
      <c r="AJ142" s="7" t="s">
        <v>679</v>
      </c>
      <c r="AK142" s="7"/>
      <c r="AL142" s="7"/>
      <c r="AM142" s="7"/>
      <c r="AN142" s="7" t="s">
        <v>680</v>
      </c>
      <c r="AO142" s="7" t="b">
        <v>1</v>
      </c>
      <c r="AP142" s="7">
        <v>1</v>
      </c>
      <c r="AQ142" s="7">
        <v>1</v>
      </c>
      <c r="AR142" s="10" t="s">
        <v>62</v>
      </c>
    </row>
    <row r="143">
      <c r="A143" s="7">
        <v>141</v>
      </c>
      <c r="B143" s="7" t="s">
        <v>681</v>
      </c>
      <c r="C143" s="8" t="s">
        <v>46</v>
      </c>
      <c r="D143" s="7" t="s">
        <v>47</v>
      </c>
      <c r="E143" s="9">
        <v>1.01</v>
      </c>
      <c r="F143" s="7" t="s">
        <v>183</v>
      </c>
      <c r="G143" s="7" t="s">
        <v>49</v>
      </c>
      <c r="H143" s="7" t="s">
        <v>50</v>
      </c>
      <c r="I143" s="7" t="s">
        <v>50</v>
      </c>
      <c r="J143" s="9" t="s">
        <v>50</v>
      </c>
      <c r="K143" s="9" t="s">
        <v>51</v>
      </c>
      <c r="L143" s="9">
        <v>44.44</v>
      </c>
      <c r="M143" s="9">
        <v>6200</v>
      </c>
      <c r="N143" s="7">
        <v>3444.72</v>
      </c>
      <c r="O143" s="9">
        <f>M143*(100-L143)/100*E143</f>
      </c>
      <c r="P143" s="7" t="s">
        <v>52</v>
      </c>
      <c r="Q143" s="7">
        <v>6.39</v>
      </c>
      <c r="R143" s="9">
        <v>6.35</v>
      </c>
      <c r="S143" s="7">
        <v>3.93</v>
      </c>
      <c r="T143" s="7" t="s">
        <v>682</v>
      </c>
      <c r="U143" s="7">
        <v>1.006</v>
      </c>
      <c r="V143" s="7">
        <v>61.7</v>
      </c>
      <c r="W143" s="7">
        <v>59</v>
      </c>
      <c r="X143" s="7" t="s">
        <v>54</v>
      </c>
      <c r="Y143" s="7" t="s">
        <v>55</v>
      </c>
      <c r="Z143" s="7" t="s">
        <v>56</v>
      </c>
      <c r="AA143" s="7" t="s">
        <v>57</v>
      </c>
      <c r="AB143" s="7" t="s">
        <v>683</v>
      </c>
      <c r="AC143" s="10" t="s">
        <v>105</v>
      </c>
      <c r="AD143" s="7" t="s">
        <v>56</v>
      </c>
      <c r="AE143" s="7" t="s">
        <v>56</v>
      </c>
      <c r="AF143" s="7" t="s">
        <v>123</v>
      </c>
      <c r="AG143" s="7" t="s">
        <v>123</v>
      </c>
      <c r="AH143" s="7">
        <v>6262</v>
      </c>
      <c r="AI143" s="10" t="s">
        <v>59</v>
      </c>
      <c r="AJ143" s="7" t="s">
        <v>684</v>
      </c>
      <c r="AK143" s="7"/>
      <c r="AL143" s="7"/>
      <c r="AM143" s="7"/>
      <c r="AN143" s="7" t="s">
        <v>685</v>
      </c>
      <c r="AO143" s="7" t="b">
        <v>1</v>
      </c>
      <c r="AP143" s="7">
        <v>1</v>
      </c>
      <c r="AQ143" s="7">
        <v>1</v>
      </c>
      <c r="AR143" s="10" t="s">
        <v>62</v>
      </c>
    </row>
    <row r="144">
      <c r="A144" s="7">
        <v>142</v>
      </c>
      <c r="B144" s="7" t="s">
        <v>686</v>
      </c>
      <c r="C144" s="8" t="s">
        <v>46</v>
      </c>
      <c r="D144" s="7" t="s">
        <v>47</v>
      </c>
      <c r="E144" s="9">
        <v>1.01</v>
      </c>
      <c r="F144" s="7" t="s">
        <v>183</v>
      </c>
      <c r="G144" s="7" t="s">
        <v>64</v>
      </c>
      <c r="H144" s="7" t="s">
        <v>50</v>
      </c>
      <c r="I144" s="7" t="s">
        <v>50</v>
      </c>
      <c r="J144" s="9" t="s">
        <v>50</v>
      </c>
      <c r="K144" s="9" t="s">
        <v>51</v>
      </c>
      <c r="L144" s="9">
        <v>39.04</v>
      </c>
      <c r="M144" s="9">
        <v>6200</v>
      </c>
      <c r="N144" s="7">
        <v>3779.52</v>
      </c>
      <c r="O144" s="9">
        <f>M144*(100-L144)/100*E144</f>
      </c>
      <c r="P144" s="7" t="s">
        <v>52</v>
      </c>
      <c r="Q144" s="7">
        <v>6.4</v>
      </c>
      <c r="R144" s="9">
        <v>6.36</v>
      </c>
      <c r="S144" s="7">
        <v>3.95</v>
      </c>
      <c r="T144" s="7" t="s">
        <v>687</v>
      </c>
      <c r="U144" s="7">
        <v>1.006</v>
      </c>
      <c r="V144" s="7">
        <v>61.9</v>
      </c>
      <c r="W144" s="7">
        <v>59</v>
      </c>
      <c r="X144" s="7" t="s">
        <v>54</v>
      </c>
      <c r="Y144" s="7" t="s">
        <v>55</v>
      </c>
      <c r="Z144" s="7" t="s">
        <v>56</v>
      </c>
      <c r="AA144" s="7" t="s">
        <v>56</v>
      </c>
      <c r="AB144" s="7" t="s">
        <v>688</v>
      </c>
      <c r="AC144" s="10" t="s">
        <v>105</v>
      </c>
      <c r="AD144" s="7" t="s">
        <v>56</v>
      </c>
      <c r="AE144" s="7" t="s">
        <v>56</v>
      </c>
      <c r="AF144" s="7" t="s">
        <v>56</v>
      </c>
      <c r="AG144" s="7" t="s">
        <v>56</v>
      </c>
      <c r="AH144" s="7">
        <v>6262</v>
      </c>
      <c r="AI144" s="10" t="s">
        <v>59</v>
      </c>
      <c r="AJ144" s="7" t="s">
        <v>689</v>
      </c>
      <c r="AK144" s="7"/>
      <c r="AL144" s="7"/>
      <c r="AM144" s="7"/>
      <c r="AN144" s="7" t="s">
        <v>690</v>
      </c>
      <c r="AO144" s="7" t="b">
        <v>1</v>
      </c>
      <c r="AP144" s="7">
        <v>1</v>
      </c>
      <c r="AQ144" s="7">
        <v>0</v>
      </c>
      <c r="AR144" s="10" t="s">
        <v>62</v>
      </c>
    </row>
    <row r="145">
      <c r="A145" s="7">
        <v>143</v>
      </c>
      <c r="B145" s="7" t="s">
        <v>691</v>
      </c>
      <c r="C145" s="8" t="s">
        <v>46</v>
      </c>
      <c r="D145" s="7" t="s">
        <v>47</v>
      </c>
      <c r="E145" s="9">
        <v>1.01</v>
      </c>
      <c r="F145" s="7" t="s">
        <v>183</v>
      </c>
      <c r="G145" s="7" t="s">
        <v>70</v>
      </c>
      <c r="H145" s="7" t="s">
        <v>50</v>
      </c>
      <c r="I145" s="7" t="s">
        <v>50</v>
      </c>
      <c r="J145" s="9" t="s">
        <v>50</v>
      </c>
      <c r="K145" s="9" t="s">
        <v>51</v>
      </c>
      <c r="L145" s="9">
        <v>41.35</v>
      </c>
      <c r="M145" s="9">
        <v>8800</v>
      </c>
      <c r="N145" s="7">
        <v>5161.2</v>
      </c>
      <c r="O145" s="9">
        <f>M145*(100-L145)/100*E145</f>
      </c>
      <c r="P145" s="7" t="s">
        <v>52</v>
      </c>
      <c r="Q145" s="7">
        <v>6.4</v>
      </c>
      <c r="R145" s="9">
        <v>6.35</v>
      </c>
      <c r="S145" s="7">
        <v>3.99</v>
      </c>
      <c r="T145" s="7" t="s">
        <v>692</v>
      </c>
      <c r="U145" s="7">
        <v>1.008</v>
      </c>
      <c r="V145" s="7">
        <v>62.6</v>
      </c>
      <c r="W145" s="7">
        <v>61</v>
      </c>
      <c r="X145" s="7" t="s">
        <v>54</v>
      </c>
      <c r="Y145" s="7" t="s">
        <v>55</v>
      </c>
      <c r="Z145" s="7" t="s">
        <v>56</v>
      </c>
      <c r="AA145" s="7" t="s">
        <v>56</v>
      </c>
      <c r="AB145" s="7" t="s">
        <v>110</v>
      </c>
      <c r="AC145" s="7" t="s">
        <v>56</v>
      </c>
      <c r="AD145" s="7" t="s">
        <v>56</v>
      </c>
      <c r="AE145" s="7" t="s">
        <v>56</v>
      </c>
      <c r="AF145" s="7" t="s">
        <v>56</v>
      </c>
      <c r="AG145" s="7" t="s">
        <v>56</v>
      </c>
      <c r="AH145" s="7">
        <v>8888</v>
      </c>
      <c r="AI145" s="10" t="s">
        <v>59</v>
      </c>
      <c r="AJ145" s="7" t="s">
        <v>693</v>
      </c>
      <c r="AK145" s="7"/>
      <c r="AL145" s="7"/>
      <c r="AM145" s="7"/>
      <c r="AN145" s="7" t="s">
        <v>694</v>
      </c>
      <c r="AO145" s="7" t="b">
        <v>1</v>
      </c>
      <c r="AP145" s="7">
        <v>1</v>
      </c>
      <c r="AQ145" s="7">
        <v>1</v>
      </c>
      <c r="AR145" s="10" t="s">
        <v>62</v>
      </c>
    </row>
    <row r="146">
      <c r="A146" s="7">
        <v>144</v>
      </c>
      <c r="B146" s="7" t="s">
        <v>695</v>
      </c>
      <c r="C146" s="8" t="s">
        <v>46</v>
      </c>
      <c r="D146" s="7" t="s">
        <v>47</v>
      </c>
      <c r="E146" s="9">
        <v>1.01</v>
      </c>
      <c r="F146" s="7" t="s">
        <v>211</v>
      </c>
      <c r="G146" s="7" t="s">
        <v>49</v>
      </c>
      <c r="H146" s="7" t="s">
        <v>50</v>
      </c>
      <c r="I146" s="7" t="s">
        <v>50</v>
      </c>
      <c r="J146" s="9" t="s">
        <v>50</v>
      </c>
      <c r="K146" s="9" t="s">
        <v>51</v>
      </c>
      <c r="L146" s="9">
        <v>40.84</v>
      </c>
      <c r="M146" s="9">
        <v>5600</v>
      </c>
      <c r="N146" s="7">
        <v>3312.96</v>
      </c>
      <c r="O146" s="9">
        <f>M146*(100-L146)/100*E146</f>
      </c>
      <c r="P146" s="7" t="s">
        <v>52</v>
      </c>
      <c r="Q146" s="7">
        <v>6.46</v>
      </c>
      <c r="R146" s="9">
        <v>6.42</v>
      </c>
      <c r="S146" s="7">
        <v>3.9</v>
      </c>
      <c r="T146" s="7" t="s">
        <v>696</v>
      </c>
      <c r="U146" s="7">
        <v>1.006</v>
      </c>
      <c r="V146" s="7">
        <v>60.6</v>
      </c>
      <c r="W146" s="7">
        <v>62</v>
      </c>
      <c r="X146" s="7" t="s">
        <v>54</v>
      </c>
      <c r="Y146" s="7" t="s">
        <v>55</v>
      </c>
      <c r="Z146" s="7" t="s">
        <v>56</v>
      </c>
      <c r="AA146" s="7" t="s">
        <v>56</v>
      </c>
      <c r="AB146" s="7" t="s">
        <v>697</v>
      </c>
      <c r="AC146" s="10" t="s">
        <v>105</v>
      </c>
      <c r="AD146" s="7" t="s">
        <v>56</v>
      </c>
      <c r="AE146" s="7" t="s">
        <v>56</v>
      </c>
      <c r="AF146" s="7" t="s">
        <v>56</v>
      </c>
      <c r="AG146" s="7" t="s">
        <v>56</v>
      </c>
      <c r="AH146" s="7">
        <v>5656</v>
      </c>
      <c r="AI146" s="10" t="s">
        <v>59</v>
      </c>
      <c r="AJ146" s="7" t="s">
        <v>698</v>
      </c>
      <c r="AK146" s="7"/>
      <c r="AL146" s="7"/>
      <c r="AM146" s="7"/>
      <c r="AN146" s="7" t="s">
        <v>699</v>
      </c>
      <c r="AO146" s="7" t="b">
        <v>1</v>
      </c>
      <c r="AP146" s="7">
        <v>1</v>
      </c>
      <c r="AQ146" s="7">
        <v>1</v>
      </c>
      <c r="AR146" s="10" t="s">
        <v>62</v>
      </c>
    </row>
    <row r="147">
      <c r="A147" s="7">
        <v>145</v>
      </c>
      <c r="B147" s="7" t="s">
        <v>700</v>
      </c>
      <c r="C147" s="8" t="s">
        <v>46</v>
      </c>
      <c r="D147" s="7" t="s">
        <v>47</v>
      </c>
      <c r="E147" s="9">
        <v>1.01</v>
      </c>
      <c r="F147" s="7" t="s">
        <v>188</v>
      </c>
      <c r="G147" s="7" t="s">
        <v>120</v>
      </c>
      <c r="H147" s="7" t="s">
        <v>50</v>
      </c>
      <c r="I147" s="7" t="s">
        <v>50</v>
      </c>
      <c r="J147" s="9" t="s">
        <v>50</v>
      </c>
      <c r="K147" s="9" t="s">
        <v>51</v>
      </c>
      <c r="L147" s="9">
        <v>41.09</v>
      </c>
      <c r="M147" s="9">
        <v>6800</v>
      </c>
      <c r="N147" s="7">
        <v>4005.88</v>
      </c>
      <c r="O147" s="9">
        <f>M147*(100-L147)/100*E147</f>
      </c>
      <c r="P147" s="7" t="s">
        <v>52</v>
      </c>
      <c r="Q147" s="7">
        <v>6.59</v>
      </c>
      <c r="R147" s="9">
        <v>6.55</v>
      </c>
      <c r="S147" s="7">
        <v>3.84</v>
      </c>
      <c r="T147" s="7" t="s">
        <v>701</v>
      </c>
      <c r="U147" s="7">
        <v>1.006</v>
      </c>
      <c r="V147" s="7">
        <v>58.5</v>
      </c>
      <c r="W147" s="7">
        <v>60</v>
      </c>
      <c r="X147" s="7" t="s">
        <v>54</v>
      </c>
      <c r="Y147" s="7" t="s">
        <v>55</v>
      </c>
      <c r="Z147" s="7" t="s">
        <v>56</v>
      </c>
      <c r="AA147" s="7" t="s">
        <v>56</v>
      </c>
      <c r="AB147" s="7" t="s">
        <v>203</v>
      </c>
      <c r="AC147" s="7" t="s">
        <v>56</v>
      </c>
      <c r="AD147" s="7" t="s">
        <v>56</v>
      </c>
      <c r="AE147" s="7" t="s">
        <v>56</v>
      </c>
      <c r="AF147" s="7" t="s">
        <v>56</v>
      </c>
      <c r="AG147" s="7" t="s">
        <v>56</v>
      </c>
      <c r="AH147" s="7">
        <v>6868</v>
      </c>
      <c r="AI147" s="10" t="s">
        <v>59</v>
      </c>
      <c r="AJ147" s="7" t="s">
        <v>702</v>
      </c>
      <c r="AK147" s="7"/>
      <c r="AL147" s="7"/>
      <c r="AM147" s="7"/>
      <c r="AN147" s="7" t="s">
        <v>703</v>
      </c>
      <c r="AO147" s="7" t="b">
        <v>1</v>
      </c>
      <c r="AP147" s="7">
        <v>1</v>
      </c>
      <c r="AQ147" s="7">
        <v>1</v>
      </c>
      <c r="AR147" s="10" t="s">
        <v>62</v>
      </c>
    </row>
    <row r="148">
      <c r="A148" s="7">
        <v>146</v>
      </c>
      <c r="B148" s="7" t="s">
        <v>704</v>
      </c>
      <c r="C148" s="8" t="s">
        <v>46</v>
      </c>
      <c r="D148" s="7" t="s">
        <v>47</v>
      </c>
      <c r="E148" s="9">
        <v>1.01</v>
      </c>
      <c r="F148" s="7" t="s">
        <v>188</v>
      </c>
      <c r="G148" s="7" t="s">
        <v>120</v>
      </c>
      <c r="H148" s="7" t="s">
        <v>50</v>
      </c>
      <c r="I148" s="7" t="s">
        <v>50</v>
      </c>
      <c r="J148" s="9" t="s">
        <v>50</v>
      </c>
      <c r="K148" s="9" t="s">
        <v>51</v>
      </c>
      <c r="L148" s="9">
        <v>41.09</v>
      </c>
      <c r="M148" s="9">
        <v>6800</v>
      </c>
      <c r="N148" s="7">
        <v>4005.88</v>
      </c>
      <c r="O148" s="9">
        <f>M148*(100-L148)/100*E148</f>
      </c>
      <c r="P148" s="7" t="s">
        <v>52</v>
      </c>
      <c r="Q148" s="7">
        <v>6.42</v>
      </c>
      <c r="R148" s="9">
        <v>6.38</v>
      </c>
      <c r="S148" s="7">
        <v>3.97</v>
      </c>
      <c r="T148" s="7" t="s">
        <v>705</v>
      </c>
      <c r="U148" s="7">
        <v>1.006</v>
      </c>
      <c r="V148" s="7">
        <v>62</v>
      </c>
      <c r="W148" s="7">
        <v>61</v>
      </c>
      <c r="X148" s="7" t="s">
        <v>54</v>
      </c>
      <c r="Y148" s="7" t="s">
        <v>55</v>
      </c>
      <c r="Z148" s="7" t="s">
        <v>56</v>
      </c>
      <c r="AA148" s="7" t="s">
        <v>56</v>
      </c>
      <c r="AB148" s="7" t="s">
        <v>706</v>
      </c>
      <c r="AC148" s="7" t="s">
        <v>56</v>
      </c>
      <c r="AD148" s="7" t="s">
        <v>56</v>
      </c>
      <c r="AE148" s="7" t="s">
        <v>56</v>
      </c>
      <c r="AF148" s="7" t="s">
        <v>56</v>
      </c>
      <c r="AG148" s="7" t="s">
        <v>56</v>
      </c>
      <c r="AH148" s="7">
        <v>6868</v>
      </c>
      <c r="AI148" s="10" t="s">
        <v>59</v>
      </c>
      <c r="AJ148" s="7" t="s">
        <v>707</v>
      </c>
      <c r="AK148" s="7"/>
      <c r="AL148" s="7"/>
      <c r="AM148" s="7"/>
      <c r="AN148" s="7" t="s">
        <v>708</v>
      </c>
      <c r="AO148" s="7" t="b">
        <v>1</v>
      </c>
      <c r="AP148" s="7">
        <v>1</v>
      </c>
      <c r="AQ148" s="7">
        <v>1</v>
      </c>
      <c r="AR148" s="10" t="s">
        <v>62</v>
      </c>
    </row>
    <row r="149">
      <c r="A149" s="7">
        <v>147</v>
      </c>
      <c r="B149" s="7" t="s">
        <v>709</v>
      </c>
      <c r="C149" s="8" t="s">
        <v>46</v>
      </c>
      <c r="D149" s="7" t="s">
        <v>47</v>
      </c>
      <c r="E149" s="9">
        <v>1.01</v>
      </c>
      <c r="F149" s="7" t="s">
        <v>188</v>
      </c>
      <c r="G149" s="7" t="s">
        <v>120</v>
      </c>
      <c r="H149" s="7" t="s">
        <v>50</v>
      </c>
      <c r="I149" s="7" t="s">
        <v>50</v>
      </c>
      <c r="J149" s="9" t="s">
        <v>50</v>
      </c>
      <c r="K149" s="9" t="s">
        <v>51</v>
      </c>
      <c r="L149" s="9">
        <v>41.09</v>
      </c>
      <c r="M149" s="9">
        <v>6800</v>
      </c>
      <c r="N149" s="7">
        <v>4005.88</v>
      </c>
      <c r="O149" s="9">
        <f>M149*(100-L149)/100*E149</f>
      </c>
      <c r="P149" s="7" t="s">
        <v>52</v>
      </c>
      <c r="Q149" s="7">
        <v>6.4</v>
      </c>
      <c r="R149" s="9">
        <v>6.36</v>
      </c>
      <c r="S149" s="7">
        <v>4</v>
      </c>
      <c r="T149" s="7" t="s">
        <v>710</v>
      </c>
      <c r="U149" s="7">
        <v>1.006</v>
      </c>
      <c r="V149" s="7">
        <v>62.7</v>
      </c>
      <c r="W149" s="7">
        <v>57</v>
      </c>
      <c r="X149" s="7" t="s">
        <v>54</v>
      </c>
      <c r="Y149" s="7" t="s">
        <v>55</v>
      </c>
      <c r="Z149" s="7" t="s">
        <v>56</v>
      </c>
      <c r="AA149" s="7" t="s">
        <v>56</v>
      </c>
      <c r="AB149" s="7" t="s">
        <v>66</v>
      </c>
      <c r="AC149" s="10" t="s">
        <v>105</v>
      </c>
      <c r="AD149" s="7" t="s">
        <v>56</v>
      </c>
      <c r="AE149" s="7" t="s">
        <v>56</v>
      </c>
      <c r="AF149" s="7" t="s">
        <v>56</v>
      </c>
      <c r="AG149" s="7" t="s">
        <v>56</v>
      </c>
      <c r="AH149" s="7">
        <v>6868</v>
      </c>
      <c r="AI149" s="10" t="s">
        <v>59</v>
      </c>
      <c r="AJ149" s="7" t="s">
        <v>711</v>
      </c>
      <c r="AK149" s="7"/>
      <c r="AL149" s="7"/>
      <c r="AM149" s="7"/>
      <c r="AN149" s="7" t="s">
        <v>712</v>
      </c>
      <c r="AO149" s="7" t="b">
        <v>1</v>
      </c>
      <c r="AP149" s="7">
        <v>1</v>
      </c>
      <c r="AQ149" s="7">
        <v>1</v>
      </c>
      <c r="AR149" s="10" t="s">
        <v>62</v>
      </c>
    </row>
    <row r="150">
      <c r="A150" s="7">
        <v>148</v>
      </c>
      <c r="B150" s="7" t="s">
        <v>713</v>
      </c>
      <c r="C150" s="8" t="s">
        <v>46</v>
      </c>
      <c r="D150" s="7" t="s">
        <v>47</v>
      </c>
      <c r="E150" s="9">
        <v>1.01</v>
      </c>
      <c r="F150" s="7" t="s">
        <v>188</v>
      </c>
      <c r="G150" s="7" t="s">
        <v>120</v>
      </c>
      <c r="H150" s="7" t="s">
        <v>50</v>
      </c>
      <c r="I150" s="7" t="s">
        <v>50</v>
      </c>
      <c r="J150" s="9" t="s">
        <v>50</v>
      </c>
      <c r="K150" s="9" t="s">
        <v>51</v>
      </c>
      <c r="L150" s="9">
        <v>42.38</v>
      </c>
      <c r="M150" s="9">
        <v>6800</v>
      </c>
      <c r="N150" s="7">
        <v>3918.16</v>
      </c>
      <c r="O150" s="9">
        <f>M150*(100-L150)/100*E150</f>
      </c>
      <c r="P150" s="7" t="s">
        <v>52</v>
      </c>
      <c r="Q150" s="7">
        <v>6.4</v>
      </c>
      <c r="R150" s="9">
        <v>6.36</v>
      </c>
      <c r="S150" s="7">
        <v>3.98</v>
      </c>
      <c r="T150" s="7" t="s">
        <v>714</v>
      </c>
      <c r="U150" s="7">
        <v>1.006</v>
      </c>
      <c r="V150" s="7">
        <v>62.3</v>
      </c>
      <c r="W150" s="7">
        <v>57</v>
      </c>
      <c r="X150" s="7" t="s">
        <v>302</v>
      </c>
      <c r="Y150" s="7" t="s">
        <v>302</v>
      </c>
      <c r="Z150" s="7" t="s">
        <v>302</v>
      </c>
      <c r="AA150" s="7" t="s">
        <v>302</v>
      </c>
      <c r="AB150" s="7" t="s">
        <v>561</v>
      </c>
      <c r="AC150" s="7" t="s">
        <v>302</v>
      </c>
      <c r="AD150" s="7" t="s">
        <v>302</v>
      </c>
      <c r="AE150" s="7" t="s">
        <v>302</v>
      </c>
      <c r="AF150" s="7" t="s">
        <v>302</v>
      </c>
      <c r="AG150" s="7" t="s">
        <v>302</v>
      </c>
      <c r="AH150" s="7">
        <v>6868</v>
      </c>
      <c r="AI150" s="10" t="s">
        <v>59</v>
      </c>
      <c r="AJ150" s="7" t="s">
        <v>715</v>
      </c>
      <c r="AK150" s="7"/>
      <c r="AL150" s="7"/>
      <c r="AM150" s="7"/>
      <c r="AN150" s="7" t="s">
        <v>716</v>
      </c>
      <c r="AO150" s="7" t="b">
        <v>1</v>
      </c>
      <c r="AP150" s="7">
        <v>1</v>
      </c>
      <c r="AQ150" s="7">
        <v>0</v>
      </c>
      <c r="AR150" s="10" t="s">
        <v>62</v>
      </c>
    </row>
    <row r="151">
      <c r="A151" s="7">
        <v>149</v>
      </c>
      <c r="B151" s="7" t="s">
        <v>717</v>
      </c>
      <c r="C151" s="8" t="s">
        <v>46</v>
      </c>
      <c r="D151" s="7" t="s">
        <v>47</v>
      </c>
      <c r="E151" s="9">
        <v>1.01</v>
      </c>
      <c r="F151" s="7" t="s">
        <v>188</v>
      </c>
      <c r="G151" s="7" t="s">
        <v>91</v>
      </c>
      <c r="H151" s="7" t="s">
        <v>50</v>
      </c>
      <c r="I151" s="7" t="s">
        <v>50</v>
      </c>
      <c r="J151" s="9" t="s">
        <v>50</v>
      </c>
      <c r="K151" s="9" t="s">
        <v>51</v>
      </c>
      <c r="L151" s="9">
        <v>43.67</v>
      </c>
      <c r="M151" s="9">
        <v>9700</v>
      </c>
      <c r="N151" s="7">
        <v>5464.01</v>
      </c>
      <c r="O151" s="9">
        <f>M151*(100-L151)/100*E151</f>
      </c>
      <c r="P151" s="7" t="s">
        <v>52</v>
      </c>
      <c r="Q151" s="7">
        <v>6.39</v>
      </c>
      <c r="R151" s="9">
        <v>6.34</v>
      </c>
      <c r="S151" s="7">
        <v>3.94</v>
      </c>
      <c r="T151" s="7" t="s">
        <v>718</v>
      </c>
      <c r="U151" s="7">
        <v>1.008</v>
      </c>
      <c r="V151" s="7">
        <v>61.9</v>
      </c>
      <c r="W151" s="7">
        <v>61</v>
      </c>
      <c r="X151" s="7" t="s">
        <v>54</v>
      </c>
      <c r="Y151" s="7" t="s">
        <v>55</v>
      </c>
      <c r="Z151" s="7" t="s">
        <v>56</v>
      </c>
      <c r="AA151" s="7" t="s">
        <v>56</v>
      </c>
      <c r="AB151" s="7" t="s">
        <v>170</v>
      </c>
      <c r="AC151" s="10" t="s">
        <v>105</v>
      </c>
      <c r="AD151" s="7" t="s">
        <v>56</v>
      </c>
      <c r="AE151" s="7" t="s">
        <v>56</v>
      </c>
      <c r="AF151" s="7" t="s">
        <v>56</v>
      </c>
      <c r="AG151" s="7" t="s">
        <v>56</v>
      </c>
      <c r="AH151" s="7">
        <v>9797</v>
      </c>
      <c r="AI151" s="10" t="s">
        <v>59</v>
      </c>
      <c r="AJ151" s="7" t="s">
        <v>719</v>
      </c>
      <c r="AK151" s="7"/>
      <c r="AL151" s="7"/>
      <c r="AM151" s="7"/>
      <c r="AN151" s="7" t="s">
        <v>720</v>
      </c>
      <c r="AO151" s="7" t="b">
        <v>1</v>
      </c>
      <c r="AP151" s="7">
        <v>1</v>
      </c>
      <c r="AQ151" s="7">
        <v>1</v>
      </c>
      <c r="AR151" s="10" t="s">
        <v>62</v>
      </c>
    </row>
    <row r="152">
      <c r="A152" s="7">
        <v>150</v>
      </c>
      <c r="B152" s="7" t="s">
        <v>721</v>
      </c>
      <c r="C152" s="8" t="s">
        <v>46</v>
      </c>
      <c r="D152" s="7" t="s">
        <v>47</v>
      </c>
      <c r="E152" s="9">
        <v>1.01</v>
      </c>
      <c r="F152" s="7" t="s">
        <v>188</v>
      </c>
      <c r="G152" s="7" t="s">
        <v>263</v>
      </c>
      <c r="H152" s="7" t="s">
        <v>50</v>
      </c>
      <c r="I152" s="7" t="s">
        <v>50</v>
      </c>
      <c r="J152" s="9" t="s">
        <v>50</v>
      </c>
      <c r="K152" s="9" t="s">
        <v>51</v>
      </c>
      <c r="L152" s="9">
        <v>41.87</v>
      </c>
      <c r="M152" s="9">
        <v>8000</v>
      </c>
      <c r="N152" s="7">
        <v>4650.4</v>
      </c>
      <c r="O152" s="9">
        <f>M152*(100-L152)/100*E152</f>
      </c>
      <c r="P152" s="7" t="s">
        <v>52</v>
      </c>
      <c r="Q152" s="7">
        <v>6.41</v>
      </c>
      <c r="R152" s="9">
        <v>6.37</v>
      </c>
      <c r="S152" s="7">
        <v>3.99</v>
      </c>
      <c r="T152" s="7" t="s">
        <v>722</v>
      </c>
      <c r="U152" s="7">
        <v>1.006</v>
      </c>
      <c r="V152" s="7">
        <v>62.4</v>
      </c>
      <c r="W152" s="7">
        <v>60</v>
      </c>
      <c r="X152" s="7" t="s">
        <v>54</v>
      </c>
      <c r="Y152" s="7" t="s">
        <v>55</v>
      </c>
      <c r="Z152" s="7" t="s">
        <v>56</v>
      </c>
      <c r="AA152" s="7" t="s">
        <v>56</v>
      </c>
      <c r="AB152" s="7" t="s">
        <v>78</v>
      </c>
      <c r="AC152" s="7" t="s">
        <v>56</v>
      </c>
      <c r="AD152" s="7" t="s">
        <v>56</v>
      </c>
      <c r="AE152" s="7" t="s">
        <v>56</v>
      </c>
      <c r="AF152" s="7" t="s">
        <v>56</v>
      </c>
      <c r="AG152" s="7" t="s">
        <v>56</v>
      </c>
      <c r="AH152" s="7">
        <v>8080</v>
      </c>
      <c r="AI152" s="10" t="s">
        <v>59</v>
      </c>
      <c r="AJ152" s="7" t="s">
        <v>723</v>
      </c>
      <c r="AK152" s="7"/>
      <c r="AL152" s="7"/>
      <c r="AM152" s="7"/>
      <c r="AN152" s="7" t="s">
        <v>724</v>
      </c>
      <c r="AO152" s="7" t="b">
        <v>1</v>
      </c>
      <c r="AP152" s="7">
        <v>1</v>
      </c>
      <c r="AQ152" s="7">
        <v>1</v>
      </c>
      <c r="AR152" s="10" t="s">
        <v>62</v>
      </c>
    </row>
    <row r="153">
      <c r="A153" s="7">
        <v>151</v>
      </c>
      <c r="B153" s="7" t="s">
        <v>725</v>
      </c>
      <c r="C153" s="8" t="s">
        <v>46</v>
      </c>
      <c r="D153" s="7" t="s">
        <v>47</v>
      </c>
      <c r="E153" s="9">
        <v>1.01</v>
      </c>
      <c r="F153" s="7" t="s">
        <v>324</v>
      </c>
      <c r="G153" s="7" t="s">
        <v>97</v>
      </c>
      <c r="H153" s="7" t="s">
        <v>50</v>
      </c>
      <c r="I153" s="7" t="s">
        <v>50</v>
      </c>
      <c r="J153" s="9" t="s">
        <v>50</v>
      </c>
      <c r="K153" s="9" t="s">
        <v>51</v>
      </c>
      <c r="L153" s="9">
        <v>42.12</v>
      </c>
      <c r="M153" s="9">
        <v>8000</v>
      </c>
      <c r="N153" s="7">
        <v>4630.4</v>
      </c>
      <c r="O153" s="9">
        <f>M153*(100-L153)/100*E153</f>
      </c>
      <c r="P153" s="7" t="s">
        <v>52</v>
      </c>
      <c r="Q153" s="7">
        <v>6.43</v>
      </c>
      <c r="R153" s="9">
        <v>6.39</v>
      </c>
      <c r="S153" s="7">
        <v>3.95</v>
      </c>
      <c r="T153" s="7" t="s">
        <v>726</v>
      </c>
      <c r="U153" s="7">
        <v>1.006</v>
      </c>
      <c r="V153" s="7">
        <v>61.7</v>
      </c>
      <c r="W153" s="7">
        <v>60</v>
      </c>
      <c r="X153" s="7" t="s">
        <v>54</v>
      </c>
      <c r="Y153" s="7" t="s">
        <v>55</v>
      </c>
      <c r="Z153" s="7" t="s">
        <v>56</v>
      </c>
      <c r="AA153" s="7" t="s">
        <v>56</v>
      </c>
      <c r="AB153" s="7" t="s">
        <v>380</v>
      </c>
      <c r="AC153" s="7" t="s">
        <v>56</v>
      </c>
      <c r="AD153" s="7" t="s">
        <v>56</v>
      </c>
      <c r="AE153" s="7" t="s">
        <v>56</v>
      </c>
      <c r="AF153" s="7" t="s">
        <v>56</v>
      </c>
      <c r="AG153" s="7" t="s">
        <v>56</v>
      </c>
      <c r="AH153" s="7">
        <v>8080</v>
      </c>
      <c r="AI153" s="10" t="s">
        <v>59</v>
      </c>
      <c r="AJ153" s="7" t="s">
        <v>727</v>
      </c>
      <c r="AK153" s="7"/>
      <c r="AL153" s="7"/>
      <c r="AM153" s="7"/>
      <c r="AN153" s="7" t="s">
        <v>728</v>
      </c>
      <c r="AO153" s="7" t="b">
        <v>1</v>
      </c>
      <c r="AP153" s="7">
        <v>1</v>
      </c>
      <c r="AQ153" s="7">
        <v>1</v>
      </c>
      <c r="AR153" s="10" t="s">
        <v>62</v>
      </c>
    </row>
    <row r="154">
      <c r="A154" s="7">
        <v>152</v>
      </c>
      <c r="B154" s="7" t="s">
        <v>729</v>
      </c>
      <c r="C154" s="8" t="s">
        <v>46</v>
      </c>
      <c r="D154" s="7" t="s">
        <v>47</v>
      </c>
      <c r="E154" s="9">
        <v>1</v>
      </c>
      <c r="F154" s="7" t="s">
        <v>86</v>
      </c>
      <c r="G154" s="7" t="s">
        <v>120</v>
      </c>
      <c r="H154" s="7" t="s">
        <v>50</v>
      </c>
      <c r="I154" s="7" t="s">
        <v>50</v>
      </c>
      <c r="J154" s="9" t="s">
        <v>50</v>
      </c>
      <c r="K154" s="9" t="s">
        <v>51</v>
      </c>
      <c r="L154" s="9">
        <v>41.35</v>
      </c>
      <c r="M154" s="9">
        <v>8300</v>
      </c>
      <c r="N154" s="7">
        <v>4867.95</v>
      </c>
      <c r="O154" s="9">
        <f>M154*(100-L154)/100*E154</f>
      </c>
      <c r="P154" s="7" t="s">
        <v>52</v>
      </c>
      <c r="Q154" s="7">
        <v>6.38</v>
      </c>
      <c r="R154" s="9">
        <v>6.34</v>
      </c>
      <c r="S154" s="7">
        <v>3.99</v>
      </c>
      <c r="T154" s="7" t="s">
        <v>730</v>
      </c>
      <c r="U154" s="7">
        <v>1.006</v>
      </c>
      <c r="V154" s="7">
        <v>62.8</v>
      </c>
      <c r="W154" s="7">
        <v>57</v>
      </c>
      <c r="X154" s="7" t="s">
        <v>54</v>
      </c>
      <c r="Y154" s="7" t="s">
        <v>55</v>
      </c>
      <c r="Z154" s="7" t="s">
        <v>56</v>
      </c>
      <c r="AA154" s="7" t="s">
        <v>56</v>
      </c>
      <c r="AB154" s="7" t="s">
        <v>534</v>
      </c>
      <c r="AC154" s="10" t="s">
        <v>105</v>
      </c>
      <c r="AD154" s="7" t="s">
        <v>56</v>
      </c>
      <c r="AE154" s="7" t="s">
        <v>56</v>
      </c>
      <c r="AF154" s="7" t="s">
        <v>56</v>
      </c>
      <c r="AG154" s="7" t="s">
        <v>56</v>
      </c>
      <c r="AH154" s="7">
        <v>8300</v>
      </c>
      <c r="AI154" s="10" t="s">
        <v>59</v>
      </c>
      <c r="AJ154" s="7" t="s">
        <v>731</v>
      </c>
      <c r="AK154" s="7"/>
      <c r="AL154" s="7"/>
      <c r="AM154" s="7"/>
      <c r="AN154" s="7" t="s">
        <v>732</v>
      </c>
      <c r="AO154" s="7" t="b">
        <v>1</v>
      </c>
      <c r="AP154" s="7">
        <v>1</v>
      </c>
      <c r="AQ154" s="7">
        <v>1</v>
      </c>
      <c r="AR154" s="10" t="s">
        <v>62</v>
      </c>
    </row>
    <row r="155">
      <c r="A155" s="7">
        <v>153</v>
      </c>
      <c r="B155" s="7" t="s">
        <v>733</v>
      </c>
      <c r="C155" s="8" t="s">
        <v>46</v>
      </c>
      <c r="D155" s="7" t="s">
        <v>47</v>
      </c>
      <c r="E155" s="9">
        <v>1</v>
      </c>
      <c r="F155" s="7" t="s">
        <v>183</v>
      </c>
      <c r="G155" s="7" t="s">
        <v>91</v>
      </c>
      <c r="H155" s="7" t="s">
        <v>50</v>
      </c>
      <c r="I155" s="7" t="s">
        <v>50</v>
      </c>
      <c r="J155" s="9" t="s">
        <v>50</v>
      </c>
      <c r="K155" s="9" t="s">
        <v>51</v>
      </c>
      <c r="L155" s="9">
        <v>43.15</v>
      </c>
      <c r="M155" s="9">
        <v>11100</v>
      </c>
      <c r="N155" s="7">
        <v>6310.35</v>
      </c>
      <c r="O155" s="9">
        <f>M155*(100-L155)/100*E155</f>
      </c>
      <c r="P155" s="7" t="s">
        <v>52</v>
      </c>
      <c r="Q155" s="7">
        <v>6.4</v>
      </c>
      <c r="R155" s="9">
        <v>6.36</v>
      </c>
      <c r="S155" s="7">
        <v>3.96</v>
      </c>
      <c r="T155" s="7" t="s">
        <v>734</v>
      </c>
      <c r="U155" s="7">
        <v>1.006</v>
      </c>
      <c r="V155" s="7">
        <v>62.1</v>
      </c>
      <c r="W155" s="7">
        <v>56</v>
      </c>
      <c r="X155" s="7" t="s">
        <v>54</v>
      </c>
      <c r="Y155" s="7" t="s">
        <v>55</v>
      </c>
      <c r="Z155" s="7" t="s">
        <v>56</v>
      </c>
      <c r="AA155" s="7" t="s">
        <v>56</v>
      </c>
      <c r="AB155" s="7" t="s">
        <v>78</v>
      </c>
      <c r="AC155" s="7" t="s">
        <v>105</v>
      </c>
      <c r="AD155" s="7" t="s">
        <v>56</v>
      </c>
      <c r="AE155" s="7" t="s">
        <v>56</v>
      </c>
      <c r="AF155" s="7" t="s">
        <v>56</v>
      </c>
      <c r="AG155" s="7" t="s">
        <v>56</v>
      </c>
      <c r="AH155" s="7">
        <v>11100</v>
      </c>
      <c r="AI155" s="10" t="s">
        <v>59</v>
      </c>
      <c r="AJ155" s="7" t="s">
        <v>735</v>
      </c>
      <c r="AK155" s="7"/>
      <c r="AL155" s="7"/>
      <c r="AM155" s="7"/>
      <c r="AN155" s="7" t="s">
        <v>736</v>
      </c>
      <c r="AO155" s="7" t="b">
        <v>1</v>
      </c>
      <c r="AP155" s="7">
        <v>1</v>
      </c>
      <c r="AQ155" s="7">
        <v>1</v>
      </c>
      <c r="AR155" s="10" t="s">
        <v>62</v>
      </c>
    </row>
    <row r="156">
      <c r="A156" s="7">
        <v>154</v>
      </c>
      <c r="B156" s="7" t="s">
        <v>737</v>
      </c>
      <c r="C156" s="8" t="s">
        <v>46</v>
      </c>
      <c r="D156" s="7" t="s">
        <v>47</v>
      </c>
      <c r="E156" s="9">
        <v>1</v>
      </c>
      <c r="F156" s="7" t="s">
        <v>188</v>
      </c>
      <c r="G156" s="7" t="s">
        <v>49</v>
      </c>
      <c r="H156" s="7" t="s">
        <v>50</v>
      </c>
      <c r="I156" s="7" t="s">
        <v>50</v>
      </c>
      <c r="J156" s="9" t="s">
        <v>50</v>
      </c>
      <c r="K156" s="9" t="s">
        <v>51</v>
      </c>
      <c r="L156" s="9">
        <v>42.12</v>
      </c>
      <c r="M156" s="9">
        <v>5600</v>
      </c>
      <c r="N156" s="7">
        <v>3241.28</v>
      </c>
      <c r="O156" s="9">
        <f>M156*(100-L156)/100*E156</f>
      </c>
      <c r="P156" s="7" t="s">
        <v>52</v>
      </c>
      <c r="Q156" s="7">
        <v>6.35</v>
      </c>
      <c r="R156" s="9">
        <v>6.3</v>
      </c>
      <c r="S156" s="7">
        <v>3.97</v>
      </c>
      <c r="T156" s="7" t="s">
        <v>738</v>
      </c>
      <c r="U156" s="7">
        <v>1.008</v>
      </c>
      <c r="V156" s="7">
        <v>62.9</v>
      </c>
      <c r="W156" s="7">
        <v>58</v>
      </c>
      <c r="X156" s="7" t="s">
        <v>54</v>
      </c>
      <c r="Y156" s="7" t="s">
        <v>55</v>
      </c>
      <c r="Z156" s="7" t="s">
        <v>57</v>
      </c>
      <c r="AA156" s="7" t="s">
        <v>56</v>
      </c>
      <c r="AB156" s="7" t="s">
        <v>330</v>
      </c>
      <c r="AC156" s="10" t="s">
        <v>105</v>
      </c>
      <c r="AD156" s="7" t="s">
        <v>56</v>
      </c>
      <c r="AE156" s="7" t="s">
        <v>56</v>
      </c>
      <c r="AF156" s="7" t="s">
        <v>56</v>
      </c>
      <c r="AG156" s="7" t="s">
        <v>56</v>
      </c>
      <c r="AH156" s="7">
        <v>5600</v>
      </c>
      <c r="AI156" s="10" t="s">
        <v>59</v>
      </c>
      <c r="AJ156" s="7" t="s">
        <v>739</v>
      </c>
      <c r="AK156" s="7"/>
      <c r="AL156" s="7"/>
      <c r="AM156" s="7"/>
      <c r="AN156" s="7" t="s">
        <v>740</v>
      </c>
      <c r="AO156" s="7" t="b">
        <v>1</v>
      </c>
      <c r="AP156" s="7">
        <v>1</v>
      </c>
      <c r="AQ156" s="7">
        <v>1</v>
      </c>
      <c r="AR156" s="10" t="s">
        <v>62</v>
      </c>
    </row>
    <row r="157">
      <c r="A157" s="7">
        <v>155</v>
      </c>
      <c r="B157" s="7" t="s">
        <v>741</v>
      </c>
      <c r="C157" s="8" t="s">
        <v>46</v>
      </c>
      <c r="D157" s="7" t="s">
        <v>47</v>
      </c>
      <c r="E157" s="9">
        <v>1</v>
      </c>
      <c r="F157" s="7" t="s">
        <v>188</v>
      </c>
      <c r="G157" s="7" t="s">
        <v>70</v>
      </c>
      <c r="H157" s="7" t="s">
        <v>50</v>
      </c>
      <c r="I157" s="7" t="s">
        <v>50</v>
      </c>
      <c r="J157" s="9" t="s">
        <v>50</v>
      </c>
      <c r="K157" s="9" t="s">
        <v>51</v>
      </c>
      <c r="L157" s="9">
        <v>40.07</v>
      </c>
      <c r="M157" s="9">
        <v>8000</v>
      </c>
      <c r="N157" s="7">
        <v>4794.4</v>
      </c>
      <c r="O157" s="9">
        <f>M157*(100-L157)/100*E157</f>
      </c>
      <c r="P157" s="7" t="s">
        <v>52</v>
      </c>
      <c r="Q157" s="7">
        <v>6.36</v>
      </c>
      <c r="R157" s="9">
        <v>6.31</v>
      </c>
      <c r="S157" s="7">
        <v>3.95</v>
      </c>
      <c r="T157" s="7" t="s">
        <v>742</v>
      </c>
      <c r="U157" s="7">
        <v>1.008</v>
      </c>
      <c r="V157" s="7">
        <v>62.3</v>
      </c>
      <c r="W157" s="7">
        <v>59</v>
      </c>
      <c r="X157" s="7" t="s">
        <v>54</v>
      </c>
      <c r="Y157" s="7" t="s">
        <v>55</v>
      </c>
      <c r="Z157" s="7" t="s">
        <v>56</v>
      </c>
      <c r="AA157" s="7" t="s">
        <v>56</v>
      </c>
      <c r="AB157" s="7" t="s">
        <v>78</v>
      </c>
      <c r="AC157" s="10" t="s">
        <v>56</v>
      </c>
      <c r="AD157" s="7" t="s">
        <v>56</v>
      </c>
      <c r="AE157" s="7" t="s">
        <v>56</v>
      </c>
      <c r="AF157" s="7" t="s">
        <v>56</v>
      </c>
      <c r="AG157" s="7" t="s">
        <v>56</v>
      </c>
      <c r="AH157" s="7">
        <v>8000</v>
      </c>
      <c r="AI157" s="10" t="s">
        <v>59</v>
      </c>
      <c r="AJ157" s="7" t="s">
        <v>743</v>
      </c>
      <c r="AK157" s="7"/>
      <c r="AL157" s="7"/>
      <c r="AM157" s="7"/>
      <c r="AN157" s="7" t="s">
        <v>744</v>
      </c>
      <c r="AO157" s="7" t="b">
        <v>1</v>
      </c>
      <c r="AP157" s="7">
        <v>1</v>
      </c>
      <c r="AQ157" s="7">
        <v>1</v>
      </c>
      <c r="AR157" s="10" t="s">
        <v>62</v>
      </c>
    </row>
    <row r="158">
      <c r="A158" s="7">
        <v>156</v>
      </c>
      <c r="B158" s="7" t="s">
        <v>745</v>
      </c>
      <c r="C158" s="8" t="s">
        <v>46</v>
      </c>
      <c r="D158" s="7" t="s">
        <v>746</v>
      </c>
      <c r="E158" s="9">
        <v>1.5</v>
      </c>
      <c r="F158" s="7" t="s">
        <v>86</v>
      </c>
      <c r="G158" s="7" t="s">
        <v>70</v>
      </c>
      <c r="H158" s="7" t="s">
        <v>302</v>
      </c>
      <c r="I158" s="7" t="s">
        <v>50</v>
      </c>
      <c r="J158" s="9" t="s">
        <v>50</v>
      </c>
      <c r="K158" s="9" t="s">
        <v>51</v>
      </c>
      <c r="L158" s="9">
        <v>37.49</v>
      </c>
      <c r="M158" s="9">
        <v>12500</v>
      </c>
      <c r="N158" s="7">
        <v>7813.75</v>
      </c>
      <c r="O158" s="9">
        <f>M158*(100-L158)/100*E158</f>
      </c>
      <c r="P158" s="7" t="s">
        <v>52</v>
      </c>
      <c r="Q158" s="7">
        <v>9.69</v>
      </c>
      <c r="R158" s="9">
        <v>6.2</v>
      </c>
      <c r="S158" s="7">
        <v>3.96</v>
      </c>
      <c r="T158" s="7" t="s">
        <v>747</v>
      </c>
      <c r="U158" s="7">
        <v>1.563</v>
      </c>
      <c r="V158" s="7">
        <v>63.8</v>
      </c>
      <c r="W158" s="7">
        <v>56</v>
      </c>
      <c r="X158" s="7" t="s">
        <v>54</v>
      </c>
      <c r="Y158" s="7" t="s">
        <v>55</v>
      </c>
      <c r="Z158" s="7" t="s">
        <v>56</v>
      </c>
      <c r="AA158" s="7" t="s">
        <v>56</v>
      </c>
      <c r="AB158" s="7" t="s">
        <v>110</v>
      </c>
      <c r="AC158" s="10" t="s">
        <v>56</v>
      </c>
      <c r="AD158" s="7" t="s">
        <v>56</v>
      </c>
      <c r="AE158" s="7" t="s">
        <v>56</v>
      </c>
      <c r="AF158" s="7" t="s">
        <v>56</v>
      </c>
      <c r="AG158" s="7" t="s">
        <v>56</v>
      </c>
      <c r="AH158" s="7">
        <v>18750</v>
      </c>
      <c r="AI158" s="10" t="s">
        <v>59</v>
      </c>
      <c r="AJ158" s="7" t="s">
        <v>748</v>
      </c>
      <c r="AK158" s="7" t="s">
        <v>749</v>
      </c>
      <c r="AL158" s="7" t="s">
        <v>750</v>
      </c>
      <c r="AM158" s="7" t="s">
        <v>751</v>
      </c>
      <c r="AN158" s="7" t="s">
        <v>752</v>
      </c>
      <c r="AO158" s="7" t="b">
        <v>1</v>
      </c>
      <c r="AP158" s="7">
        <v>1</v>
      </c>
      <c r="AQ158" s="7">
        <v>1</v>
      </c>
      <c r="AR158" s="10" t="s">
        <v>62</v>
      </c>
    </row>
    <row r="159">
      <c r="A159" s="7">
        <v>157</v>
      </c>
      <c r="B159" s="7" t="s">
        <v>753</v>
      </c>
      <c r="C159" s="8" t="s">
        <v>46</v>
      </c>
      <c r="D159" s="7" t="s">
        <v>746</v>
      </c>
      <c r="E159" s="9">
        <v>1.12</v>
      </c>
      <c r="F159" s="7" t="s">
        <v>86</v>
      </c>
      <c r="G159" s="7" t="s">
        <v>141</v>
      </c>
      <c r="H159" s="7" t="s">
        <v>302</v>
      </c>
      <c r="I159" s="7" t="s">
        <v>50</v>
      </c>
      <c r="J159" s="9" t="s">
        <v>73</v>
      </c>
      <c r="K159" s="9" t="s">
        <v>51</v>
      </c>
      <c r="L159" s="9">
        <v>36.46</v>
      </c>
      <c r="M159" s="9">
        <v>5700</v>
      </c>
      <c r="N159" s="7">
        <v>3621.78</v>
      </c>
      <c r="O159" s="9">
        <f>M159*(100-L159)/100*E159</f>
      </c>
      <c r="P159" s="7" t="s">
        <v>52</v>
      </c>
      <c r="Q159" s="7">
        <v>8.75</v>
      </c>
      <c r="R159" s="9">
        <v>5.78</v>
      </c>
      <c r="S159" s="7">
        <v>3.58</v>
      </c>
      <c r="T159" s="7" t="s">
        <v>754</v>
      </c>
      <c r="U159" s="7">
        <v>1.514</v>
      </c>
      <c r="V159" s="7">
        <v>61.9</v>
      </c>
      <c r="W159" s="7">
        <v>60</v>
      </c>
      <c r="X159" s="7" t="s">
        <v>54</v>
      </c>
      <c r="Y159" s="7" t="s">
        <v>55</v>
      </c>
      <c r="Z159" s="7" t="s">
        <v>56</v>
      </c>
      <c r="AA159" s="7" t="s">
        <v>56</v>
      </c>
      <c r="AB159" s="7" t="s">
        <v>534</v>
      </c>
      <c r="AC159" s="7" t="s">
        <v>56</v>
      </c>
      <c r="AD159" s="7" t="s">
        <v>56</v>
      </c>
      <c r="AE159" s="7" t="s">
        <v>56</v>
      </c>
      <c r="AF159" s="7" t="s">
        <v>56</v>
      </c>
      <c r="AG159" s="7" t="s">
        <v>56</v>
      </c>
      <c r="AH159" s="7">
        <v>6384</v>
      </c>
      <c r="AI159" s="10" t="s">
        <v>59</v>
      </c>
      <c r="AJ159" s="7" t="s">
        <v>755</v>
      </c>
      <c r="AK159" s="7"/>
      <c r="AL159" s="7"/>
      <c r="AM159" s="7"/>
      <c r="AN159" s="7" t="s">
        <v>756</v>
      </c>
      <c r="AO159" s="7" t="b">
        <v>1</v>
      </c>
      <c r="AP159" s="7">
        <v>1</v>
      </c>
      <c r="AQ159" s="7">
        <v>1</v>
      </c>
      <c r="AR159" s="10" t="s">
        <v>62</v>
      </c>
    </row>
    <row r="160">
      <c r="A160" s="7">
        <v>158</v>
      </c>
      <c r="B160" s="7" t="s">
        <v>757</v>
      </c>
      <c r="C160" s="8" t="s">
        <v>46</v>
      </c>
      <c r="D160" s="7" t="s">
        <v>746</v>
      </c>
      <c r="E160" s="9">
        <v>1.01</v>
      </c>
      <c r="F160" s="7" t="s">
        <v>86</v>
      </c>
      <c r="G160" s="7" t="s">
        <v>141</v>
      </c>
      <c r="H160" s="7" t="s">
        <v>302</v>
      </c>
      <c r="I160" s="7" t="s">
        <v>50</v>
      </c>
      <c r="J160" s="9" t="s">
        <v>73</v>
      </c>
      <c r="K160" s="9" t="s">
        <v>51</v>
      </c>
      <c r="L160" s="9">
        <v>42.38</v>
      </c>
      <c r="M160" s="9">
        <v>5700</v>
      </c>
      <c r="N160" s="7">
        <v>3284.34</v>
      </c>
      <c r="O160" s="9">
        <f>M160*(100-L160)/100*E160</f>
      </c>
      <c r="P160" s="7" t="s">
        <v>52</v>
      </c>
      <c r="Q160" s="7">
        <v>8.85</v>
      </c>
      <c r="R160" s="9">
        <v>5.62</v>
      </c>
      <c r="S160" s="7">
        <v>3.46</v>
      </c>
      <c r="T160" s="7" t="s">
        <v>758</v>
      </c>
      <c r="U160" s="7">
        <v>1.575</v>
      </c>
      <c r="V160" s="7">
        <v>61.5</v>
      </c>
      <c r="W160" s="7">
        <v>62</v>
      </c>
      <c r="X160" s="7" t="s">
        <v>54</v>
      </c>
      <c r="Y160" s="7" t="s">
        <v>55</v>
      </c>
      <c r="Z160" s="7" t="s">
        <v>56</v>
      </c>
      <c r="AA160" s="7" t="s">
        <v>123</v>
      </c>
      <c r="AB160" s="7" t="s">
        <v>759</v>
      </c>
      <c r="AC160" s="7" t="s">
        <v>56</v>
      </c>
      <c r="AD160" s="7" t="s">
        <v>56</v>
      </c>
      <c r="AE160" s="7" t="s">
        <v>56</v>
      </c>
      <c r="AF160" s="7" t="s">
        <v>123</v>
      </c>
      <c r="AG160" s="7" t="s">
        <v>123</v>
      </c>
      <c r="AH160" s="7">
        <v>5757</v>
      </c>
      <c r="AI160" s="10" t="s">
        <v>59</v>
      </c>
      <c r="AJ160" s="7" t="s">
        <v>760</v>
      </c>
      <c r="AK160" s="7"/>
      <c r="AL160" s="7"/>
      <c r="AM160" s="7"/>
      <c r="AN160" s="7" t="s">
        <v>761</v>
      </c>
      <c r="AO160" s="7" t="b">
        <v>1</v>
      </c>
      <c r="AP160" s="7">
        <v>1</v>
      </c>
      <c r="AQ160" s="7">
        <v>1</v>
      </c>
      <c r="AR160" s="10" t="s">
        <v>62</v>
      </c>
    </row>
    <row r="161">
      <c r="A161" s="7">
        <v>159</v>
      </c>
      <c r="B161" s="7" t="s">
        <v>762</v>
      </c>
      <c r="C161" s="8" t="s">
        <v>46</v>
      </c>
      <c r="D161" s="7" t="s">
        <v>746</v>
      </c>
      <c r="E161" s="9">
        <v>1.01</v>
      </c>
      <c r="F161" s="7" t="s">
        <v>136</v>
      </c>
      <c r="G161" s="7" t="s">
        <v>141</v>
      </c>
      <c r="H161" s="7" t="s">
        <v>302</v>
      </c>
      <c r="I161" s="7" t="s">
        <v>73</v>
      </c>
      <c r="J161" s="9" t="s">
        <v>50</v>
      </c>
      <c r="K161" s="9" t="s">
        <v>51</v>
      </c>
      <c r="L161" s="9">
        <v>38.26</v>
      </c>
      <c r="M161" s="9">
        <v>5400</v>
      </c>
      <c r="N161" s="7">
        <v>3333.96</v>
      </c>
      <c r="O161" s="9">
        <f>M161*(100-L161)/100*E161</f>
      </c>
      <c r="P161" s="7" t="s">
        <v>52</v>
      </c>
      <c r="Q161" s="7">
        <v>9.03</v>
      </c>
      <c r="R161" s="9">
        <v>5.66</v>
      </c>
      <c r="S161" s="7">
        <v>3.43</v>
      </c>
      <c r="T161" s="7" t="s">
        <v>763</v>
      </c>
      <c r="U161" s="7">
        <v>1.595</v>
      </c>
      <c r="V161" s="7">
        <v>60.5</v>
      </c>
      <c r="W161" s="7">
        <v>61</v>
      </c>
      <c r="X161" s="7" t="s">
        <v>54</v>
      </c>
      <c r="Y161" s="7" t="s">
        <v>55</v>
      </c>
      <c r="Z161" s="7" t="s">
        <v>57</v>
      </c>
      <c r="AA161" s="7" t="s">
        <v>57</v>
      </c>
      <c r="AB161" s="7" t="s">
        <v>552</v>
      </c>
      <c r="AC161" s="7" t="s">
        <v>56</v>
      </c>
      <c r="AD161" s="7" t="s">
        <v>57</v>
      </c>
      <c r="AE161" s="7" t="s">
        <v>56</v>
      </c>
      <c r="AF161" s="7" t="s">
        <v>56</v>
      </c>
      <c r="AG161" s="7" t="s">
        <v>56</v>
      </c>
      <c r="AH161" s="7">
        <v>5454</v>
      </c>
      <c r="AI161" s="10" t="s">
        <v>59</v>
      </c>
      <c r="AJ161" s="7" t="s">
        <v>764</v>
      </c>
      <c r="AK161" s="7"/>
      <c r="AL161" s="7"/>
      <c r="AM161" s="7"/>
      <c r="AN161" s="7" t="s">
        <v>765</v>
      </c>
      <c r="AO161" s="7" t="b">
        <v>1</v>
      </c>
      <c r="AP161" s="7">
        <v>1</v>
      </c>
      <c r="AQ161" s="7">
        <v>1</v>
      </c>
      <c r="AR161" s="10" t="s">
        <v>62</v>
      </c>
    </row>
  </sheetData>
  <hyperlinks>
    <hyperlink ref="C3" r:id="rId1"/>
    <hyperlink ref="AC3" r:id="rId2"/>
    <hyperlink ref="AI3" r:id="rId3"/>
    <hyperlink ref="AR3" r:id="rId4"/>
    <hyperlink ref="C4" r:id="rId5"/>
    <hyperlink ref="AC4" r:id="rId6"/>
    <hyperlink ref="AI4" r:id="rId7"/>
    <hyperlink ref="AR4" r:id="rId8"/>
    <hyperlink ref="C5" r:id="rId9"/>
    <hyperlink ref="AC5" r:id="rId10"/>
    <hyperlink ref="AI5" r:id="rId11"/>
    <hyperlink ref="AR5" r:id="rId12"/>
    <hyperlink ref="C6" r:id="rId13"/>
    <hyperlink ref="AC6" r:id="rId14"/>
    <hyperlink ref="AI6" r:id="rId15"/>
    <hyperlink ref="AR6" r:id="rId16"/>
    <hyperlink ref="C7" r:id="rId17"/>
    <hyperlink ref="AC7" r:id="rId18"/>
    <hyperlink ref="AI7" r:id="rId19"/>
    <hyperlink ref="AR7" r:id="rId20"/>
    <hyperlink ref="C8" r:id="rId21"/>
    <hyperlink ref="AC8" r:id="rId22"/>
    <hyperlink ref="AI8" r:id="rId23"/>
    <hyperlink ref="AR8" r:id="rId24"/>
    <hyperlink ref="C9" r:id="rId25"/>
    <hyperlink ref="AC9" r:id="rId26"/>
    <hyperlink ref="AI9" r:id="rId27"/>
    <hyperlink ref="AR9" r:id="rId28"/>
    <hyperlink ref="C10" r:id="rId29"/>
    <hyperlink ref="AC10" r:id="rId30"/>
    <hyperlink ref="AI10" r:id="rId31"/>
    <hyperlink ref="AR10" r:id="rId32"/>
    <hyperlink ref="C11" r:id="rId33"/>
    <hyperlink ref="AC11" r:id="rId34"/>
    <hyperlink ref="AI11" r:id="rId35"/>
    <hyperlink ref="AR11" r:id="rId36"/>
    <hyperlink ref="C12" r:id="rId37"/>
    <hyperlink ref="AC12" r:id="rId38"/>
    <hyperlink ref="AI12" r:id="rId39"/>
    <hyperlink ref="AR12" r:id="rId40"/>
    <hyperlink ref="C13" r:id="rId41"/>
    <hyperlink ref="AC13" r:id="rId42"/>
    <hyperlink ref="AI13" r:id="rId43"/>
    <hyperlink ref="AR13" r:id="rId44"/>
    <hyperlink ref="C14" r:id="rId45"/>
    <hyperlink ref="AI14" r:id="rId46"/>
    <hyperlink ref="AR14" r:id="rId47"/>
    <hyperlink ref="C15" r:id="rId48"/>
    <hyperlink ref="AC15" r:id="rId49"/>
    <hyperlink ref="AI15" r:id="rId50"/>
    <hyperlink ref="AR15" r:id="rId51"/>
    <hyperlink ref="C16" r:id="rId52"/>
    <hyperlink ref="AC16" r:id="rId53"/>
    <hyperlink ref="AI16" r:id="rId54"/>
    <hyperlink ref="AR16" r:id="rId55"/>
    <hyperlink ref="C17" r:id="rId56"/>
    <hyperlink ref="AC17" r:id="rId57"/>
    <hyperlink ref="AI17" r:id="rId58"/>
    <hyperlink ref="AR17" r:id="rId59"/>
    <hyperlink ref="C18" r:id="rId60"/>
    <hyperlink ref="AC18" r:id="rId61"/>
    <hyperlink ref="AI18" r:id="rId62"/>
    <hyperlink ref="AR18" r:id="rId63"/>
    <hyperlink ref="C19" r:id="rId64"/>
    <hyperlink ref="AC19" r:id="rId65"/>
    <hyperlink ref="AI19" r:id="rId66"/>
    <hyperlink ref="AR19" r:id="rId67"/>
    <hyperlink ref="C20" r:id="rId68"/>
    <hyperlink ref="AC20" r:id="rId69"/>
    <hyperlink ref="AI20" r:id="rId70"/>
    <hyperlink ref="AR20" r:id="rId71"/>
    <hyperlink ref="C21" r:id="rId72"/>
    <hyperlink ref="AC21" r:id="rId73"/>
    <hyperlink ref="AI21" r:id="rId74"/>
    <hyperlink ref="AR21" r:id="rId75"/>
    <hyperlink ref="C22" r:id="rId76"/>
    <hyperlink ref="AC22" r:id="rId77"/>
    <hyperlink ref="AI22" r:id="rId78"/>
    <hyperlink ref="AR22" r:id="rId79"/>
    <hyperlink ref="C23" r:id="rId80"/>
    <hyperlink ref="AC23" r:id="rId81"/>
    <hyperlink ref="AI23" r:id="rId82"/>
    <hyperlink ref="AR23" r:id="rId83"/>
    <hyperlink ref="C24" r:id="rId84"/>
    <hyperlink ref="AC24" r:id="rId85"/>
    <hyperlink ref="AI24" r:id="rId86"/>
    <hyperlink ref="AR24" r:id="rId87"/>
    <hyperlink ref="C25" r:id="rId88"/>
    <hyperlink ref="AC25" r:id="rId89"/>
    <hyperlink ref="AI25" r:id="rId90"/>
    <hyperlink ref="AR25" r:id="rId91"/>
    <hyperlink ref="C26" r:id="rId92"/>
    <hyperlink ref="AC26" r:id="rId93"/>
    <hyperlink ref="AI26" r:id="rId94"/>
    <hyperlink ref="AR26" r:id="rId95"/>
    <hyperlink ref="C27" r:id="rId96"/>
    <hyperlink ref="AR27" r:id="rId97"/>
    <hyperlink ref="C28" r:id="rId98"/>
    <hyperlink ref="AC28" r:id="rId99"/>
    <hyperlink ref="AI28" r:id="rId100"/>
    <hyperlink ref="AR28" r:id="rId101"/>
    <hyperlink ref="C29" r:id="rId102"/>
    <hyperlink ref="AC29" r:id="rId103"/>
    <hyperlink ref="AI29" r:id="rId104"/>
    <hyperlink ref="AR29" r:id="rId105"/>
    <hyperlink ref="C30" r:id="rId106"/>
    <hyperlink ref="AC30" r:id="rId107"/>
    <hyperlink ref="AI30" r:id="rId108"/>
    <hyperlink ref="AR30" r:id="rId109"/>
    <hyperlink ref="C31" r:id="rId110"/>
    <hyperlink ref="AC31" r:id="rId111"/>
    <hyperlink ref="AI31" r:id="rId112"/>
    <hyperlink ref="AR31" r:id="rId113"/>
    <hyperlink ref="C32" r:id="rId114"/>
    <hyperlink ref="AC32" r:id="rId115"/>
    <hyperlink ref="AI32" r:id="rId116"/>
    <hyperlink ref="AR32" r:id="rId117"/>
    <hyperlink ref="C33" r:id="rId118"/>
    <hyperlink ref="AI33" r:id="rId119"/>
    <hyperlink ref="AR33" r:id="rId120"/>
    <hyperlink ref="C34" r:id="rId121"/>
    <hyperlink ref="AI34" r:id="rId122"/>
    <hyperlink ref="AR34" r:id="rId123"/>
    <hyperlink ref="C35" r:id="rId124"/>
    <hyperlink ref="AI35" r:id="rId125"/>
    <hyperlink ref="AR35" r:id="rId126"/>
    <hyperlink ref="C36" r:id="rId127"/>
    <hyperlink ref="AI36" r:id="rId128"/>
    <hyperlink ref="AR36" r:id="rId129"/>
    <hyperlink ref="C37" r:id="rId130"/>
    <hyperlink ref="AI37" r:id="rId131"/>
    <hyperlink ref="AR37" r:id="rId132"/>
    <hyperlink ref="C38" r:id="rId133"/>
    <hyperlink ref="AC38" r:id="rId134"/>
    <hyperlink ref="AI38" r:id="rId135"/>
    <hyperlink ref="AR38" r:id="rId136"/>
    <hyperlink ref="C39" r:id="rId137"/>
    <hyperlink ref="AI39" r:id="rId138"/>
    <hyperlink ref="AR39" r:id="rId139"/>
    <hyperlink ref="C40" r:id="rId140"/>
    <hyperlink ref="AC40" r:id="rId141"/>
    <hyperlink ref="AI40" r:id="rId142"/>
    <hyperlink ref="AR40" r:id="rId143"/>
    <hyperlink ref="C41" r:id="rId144"/>
    <hyperlink ref="AC41" r:id="rId145"/>
    <hyperlink ref="AI41" r:id="rId146"/>
    <hyperlink ref="AR41" r:id="rId147"/>
    <hyperlink ref="C42" r:id="rId148"/>
    <hyperlink ref="AI42" r:id="rId149"/>
    <hyperlink ref="AR42" r:id="rId150"/>
    <hyperlink ref="C43" r:id="rId151"/>
    <hyperlink ref="AC43" r:id="rId152"/>
    <hyperlink ref="AI43" r:id="rId153"/>
    <hyperlink ref="AR43" r:id="rId154"/>
    <hyperlink ref="C44" r:id="rId155"/>
    <hyperlink ref="AI44" r:id="rId156"/>
    <hyperlink ref="AR44" r:id="rId157"/>
    <hyperlink ref="C45" r:id="rId158"/>
    <hyperlink ref="AC45" r:id="rId159"/>
    <hyperlink ref="AI45" r:id="rId160"/>
    <hyperlink ref="AR45" r:id="rId161"/>
    <hyperlink ref="C46" r:id="rId162"/>
    <hyperlink ref="AC46" r:id="rId163"/>
    <hyperlink ref="AI46" r:id="rId164"/>
    <hyperlink ref="AR46" r:id="rId165"/>
    <hyperlink ref="C47" r:id="rId166"/>
    <hyperlink ref="AC47" r:id="rId167"/>
    <hyperlink ref="AI47" r:id="rId168"/>
    <hyperlink ref="AR47" r:id="rId169"/>
    <hyperlink ref="C48" r:id="rId170"/>
    <hyperlink ref="AC48" r:id="rId171"/>
    <hyperlink ref="AI48" r:id="rId172"/>
    <hyperlink ref="AR48" r:id="rId173"/>
    <hyperlink ref="C49" r:id="rId174"/>
    <hyperlink ref="AI49" r:id="rId175"/>
    <hyperlink ref="AR49" r:id="rId176"/>
    <hyperlink ref="C50" r:id="rId177"/>
    <hyperlink ref="AC50" r:id="rId178"/>
    <hyperlink ref="AI50" r:id="rId179"/>
    <hyperlink ref="AR50" r:id="rId180"/>
    <hyperlink ref="C51" r:id="rId181"/>
    <hyperlink ref="AC51" r:id="rId182"/>
    <hyperlink ref="AI51" r:id="rId183"/>
    <hyperlink ref="AR51" r:id="rId184"/>
    <hyperlink ref="C52" r:id="rId185"/>
    <hyperlink ref="AC52" r:id="rId186"/>
    <hyperlink ref="AI52" r:id="rId187"/>
    <hyperlink ref="AR52" r:id="rId188"/>
    <hyperlink ref="C53" r:id="rId189"/>
    <hyperlink ref="AI53" r:id="rId190"/>
    <hyperlink ref="AR53" r:id="rId191"/>
    <hyperlink ref="C54" r:id="rId192"/>
    <hyperlink ref="AR54" r:id="rId193"/>
    <hyperlink ref="C55" r:id="rId194"/>
    <hyperlink ref="AI55" r:id="rId195"/>
    <hyperlink ref="AR55" r:id="rId196"/>
    <hyperlink ref="C56" r:id="rId197"/>
    <hyperlink ref="AC56" r:id="rId198"/>
    <hyperlink ref="AI56" r:id="rId199"/>
    <hyperlink ref="AR56" r:id="rId200"/>
    <hyperlink ref="C57" r:id="rId201"/>
    <hyperlink ref="AC57" r:id="rId202"/>
    <hyperlink ref="AI57" r:id="rId203"/>
    <hyperlink ref="AR57" r:id="rId204"/>
    <hyperlink ref="C58" r:id="rId205"/>
    <hyperlink ref="AI58" r:id="rId206"/>
    <hyperlink ref="AR58" r:id="rId207"/>
    <hyperlink ref="C59" r:id="rId208"/>
    <hyperlink ref="AC59" r:id="rId209"/>
    <hyperlink ref="AI59" r:id="rId210"/>
    <hyperlink ref="AR59" r:id="rId211"/>
    <hyperlink ref="C60" r:id="rId212"/>
    <hyperlink ref="AC60" r:id="rId213"/>
    <hyperlink ref="AI60" r:id="rId214"/>
    <hyperlink ref="AR60" r:id="rId215"/>
    <hyperlink ref="C61" r:id="rId216"/>
    <hyperlink ref="AC61" r:id="rId217"/>
    <hyperlink ref="AI61" r:id="rId218"/>
    <hyperlink ref="AR61" r:id="rId219"/>
    <hyperlink ref="C62" r:id="rId220"/>
    <hyperlink ref="AC62" r:id="rId221"/>
    <hyperlink ref="AI62" r:id="rId222"/>
    <hyperlink ref="AR62" r:id="rId223"/>
    <hyperlink ref="C63" r:id="rId224"/>
    <hyperlink ref="AC63" r:id="rId225"/>
    <hyperlink ref="AI63" r:id="rId226"/>
    <hyperlink ref="AR63" r:id="rId227"/>
    <hyperlink ref="C64" r:id="rId228"/>
    <hyperlink ref="AC64" r:id="rId229"/>
    <hyperlink ref="AI64" r:id="rId230"/>
    <hyperlink ref="AR64" r:id="rId231"/>
    <hyperlink ref="C65" r:id="rId232"/>
    <hyperlink ref="AR65" r:id="rId233"/>
    <hyperlink ref="C66" r:id="rId234"/>
    <hyperlink ref="AI66" r:id="rId235"/>
    <hyperlink ref="AR66" r:id="rId236"/>
    <hyperlink ref="C67" r:id="rId237"/>
    <hyperlink ref="AC67" r:id="rId238"/>
    <hyperlink ref="AI67" r:id="rId239"/>
    <hyperlink ref="AR67" r:id="rId240"/>
    <hyperlink ref="C68" r:id="rId241"/>
    <hyperlink ref="AC68" r:id="rId242"/>
    <hyperlink ref="AI68" r:id="rId243"/>
    <hyperlink ref="AR68" r:id="rId244"/>
    <hyperlink ref="C69" r:id="rId245"/>
    <hyperlink ref="AI69" r:id="rId246"/>
    <hyperlink ref="AR69" r:id="rId247"/>
    <hyperlink ref="C70" r:id="rId248"/>
    <hyperlink ref="AI70" r:id="rId249"/>
    <hyperlink ref="AR70" r:id="rId250"/>
    <hyperlink ref="C71" r:id="rId251"/>
    <hyperlink ref="AC71" r:id="rId252"/>
    <hyperlink ref="AI71" r:id="rId253"/>
    <hyperlink ref="AR71" r:id="rId254"/>
    <hyperlink ref="C72" r:id="rId255"/>
    <hyperlink ref="AI72" r:id="rId256"/>
    <hyperlink ref="AR72" r:id="rId257"/>
    <hyperlink ref="C73" r:id="rId258"/>
    <hyperlink ref="AI73" r:id="rId259"/>
    <hyperlink ref="AR73" r:id="rId260"/>
    <hyperlink ref="C74" r:id="rId261"/>
    <hyperlink ref="AI74" r:id="rId262"/>
    <hyperlink ref="AR74" r:id="rId263"/>
    <hyperlink ref="C75" r:id="rId264"/>
    <hyperlink ref="AC75" r:id="rId265"/>
    <hyperlink ref="AI75" r:id="rId266"/>
    <hyperlink ref="AR75" r:id="rId267"/>
    <hyperlink ref="C76" r:id="rId268"/>
    <hyperlink ref="AR76" r:id="rId269"/>
    <hyperlink ref="C77" r:id="rId270"/>
    <hyperlink ref="AI77" r:id="rId271"/>
    <hyperlink ref="AR77" r:id="rId272"/>
    <hyperlink ref="C78" r:id="rId273"/>
    <hyperlink ref="AC78" r:id="rId274"/>
    <hyperlink ref="AI78" r:id="rId275"/>
    <hyperlink ref="AR78" r:id="rId276"/>
    <hyperlink ref="C79" r:id="rId277"/>
    <hyperlink ref="AC79" r:id="rId278"/>
    <hyperlink ref="AI79" r:id="rId279"/>
    <hyperlink ref="AR79" r:id="rId280"/>
    <hyperlink ref="C80" r:id="rId281"/>
    <hyperlink ref="AI80" r:id="rId282"/>
    <hyperlink ref="AR80" r:id="rId283"/>
    <hyperlink ref="C81" r:id="rId284"/>
    <hyperlink ref="AI81" r:id="rId285"/>
    <hyperlink ref="AR81" r:id="rId286"/>
    <hyperlink ref="C82" r:id="rId287"/>
    <hyperlink ref="AI82" r:id="rId288"/>
    <hyperlink ref="AR82" r:id="rId289"/>
    <hyperlink ref="C83" r:id="rId290"/>
    <hyperlink ref="AC83" r:id="rId291"/>
    <hyperlink ref="AI83" r:id="rId292"/>
    <hyperlink ref="AR83" r:id="rId293"/>
    <hyperlink ref="C84" r:id="rId294"/>
    <hyperlink ref="AI84" r:id="rId295"/>
    <hyperlink ref="AR84" r:id="rId296"/>
    <hyperlink ref="C85" r:id="rId297"/>
    <hyperlink ref="AI85" r:id="rId298"/>
    <hyperlink ref="AR85" r:id="rId299"/>
    <hyperlink ref="C86" r:id="rId300"/>
    <hyperlink ref="AC86" r:id="rId301"/>
    <hyperlink ref="AI86" r:id="rId302"/>
    <hyperlink ref="AR86" r:id="rId303"/>
    <hyperlink ref="C87" r:id="rId304"/>
    <hyperlink ref="AR87" r:id="rId305"/>
    <hyperlink ref="C88" r:id="rId306"/>
    <hyperlink ref="AI88" r:id="rId307"/>
    <hyperlink ref="AR88" r:id="rId308"/>
    <hyperlink ref="C89" r:id="rId309"/>
    <hyperlink ref="AI89" r:id="rId310"/>
    <hyperlink ref="AR89" r:id="rId311"/>
    <hyperlink ref="C90" r:id="rId312"/>
    <hyperlink ref="AI90" r:id="rId313"/>
    <hyperlink ref="AR90" r:id="rId314"/>
    <hyperlink ref="C91" r:id="rId315"/>
    <hyperlink ref="AC91" r:id="rId316"/>
    <hyperlink ref="AI91" r:id="rId317"/>
    <hyperlink ref="AR91" r:id="rId318"/>
    <hyperlink ref="C92" r:id="rId319"/>
    <hyperlink ref="AC92" r:id="rId320"/>
    <hyperlink ref="AI92" r:id="rId321"/>
    <hyperlink ref="AR92" r:id="rId322"/>
    <hyperlink ref="C93" r:id="rId323"/>
    <hyperlink ref="AC93" r:id="rId324"/>
    <hyperlink ref="AI93" r:id="rId325"/>
    <hyperlink ref="AR93" r:id="rId326"/>
    <hyperlink ref="C94" r:id="rId327"/>
    <hyperlink ref="AC94" r:id="rId328"/>
    <hyperlink ref="AI94" r:id="rId329"/>
    <hyperlink ref="AR94" r:id="rId330"/>
    <hyperlink ref="C95" r:id="rId331"/>
    <hyperlink ref="AI95" r:id="rId332"/>
    <hyperlink ref="AR95" r:id="rId333"/>
    <hyperlink ref="C96" r:id="rId334"/>
    <hyperlink ref="AC96" r:id="rId335"/>
    <hyperlink ref="AI96" r:id="rId336"/>
    <hyperlink ref="AR96" r:id="rId337"/>
    <hyperlink ref="C97" r:id="rId338"/>
    <hyperlink ref="AI97" r:id="rId339"/>
    <hyperlink ref="AR97" r:id="rId340"/>
    <hyperlink ref="C98" r:id="rId341"/>
    <hyperlink ref="AI98" r:id="rId342"/>
    <hyperlink ref="AR98" r:id="rId343"/>
    <hyperlink ref="C99" r:id="rId344"/>
    <hyperlink ref="AC99" r:id="rId345"/>
    <hyperlink ref="AI99" r:id="rId346"/>
    <hyperlink ref="AR99" r:id="rId347"/>
    <hyperlink ref="C100" r:id="rId348"/>
    <hyperlink ref="AC100" r:id="rId349"/>
    <hyperlink ref="AI100" r:id="rId350"/>
    <hyperlink ref="AR100" r:id="rId351"/>
    <hyperlink ref="C101" r:id="rId352"/>
    <hyperlink ref="AI101" r:id="rId353"/>
    <hyperlink ref="AR101" r:id="rId354"/>
    <hyperlink ref="C102" r:id="rId355"/>
    <hyperlink ref="AC102" r:id="rId356"/>
    <hyperlink ref="AI102" r:id="rId357"/>
    <hyperlink ref="AR102" r:id="rId358"/>
    <hyperlink ref="C103" r:id="rId359"/>
    <hyperlink ref="AI103" r:id="rId360"/>
    <hyperlink ref="AR103" r:id="rId361"/>
    <hyperlink ref="C104" r:id="rId362"/>
    <hyperlink ref="AI104" r:id="rId363"/>
    <hyperlink ref="AR104" r:id="rId364"/>
    <hyperlink ref="C105" r:id="rId365"/>
    <hyperlink ref="AC105" r:id="rId366"/>
    <hyperlink ref="AI105" r:id="rId367"/>
    <hyperlink ref="AR105" r:id="rId368"/>
    <hyperlink ref="C106" r:id="rId369"/>
    <hyperlink ref="AC106" r:id="rId370"/>
    <hyperlink ref="AI106" r:id="rId371"/>
    <hyperlink ref="AR106" r:id="rId372"/>
    <hyperlink ref="C107" r:id="rId373"/>
    <hyperlink ref="AI107" r:id="rId374"/>
    <hyperlink ref="AR107" r:id="rId375"/>
    <hyperlink ref="C108" r:id="rId376"/>
    <hyperlink ref="AC108" r:id="rId377"/>
    <hyperlink ref="AI108" r:id="rId378"/>
    <hyperlink ref="AR108" r:id="rId379"/>
    <hyperlink ref="C109" r:id="rId380"/>
    <hyperlink ref="AI109" r:id="rId381"/>
    <hyperlink ref="AR109" r:id="rId382"/>
    <hyperlink ref="C110" r:id="rId383"/>
    <hyperlink ref="AI110" r:id="rId384"/>
    <hyperlink ref="AR110" r:id="rId385"/>
    <hyperlink ref="C111" r:id="rId386"/>
    <hyperlink ref="AC111" r:id="rId387"/>
    <hyperlink ref="AI111" r:id="rId388"/>
    <hyperlink ref="AR111" r:id="rId389"/>
    <hyperlink ref="C112" r:id="rId390"/>
    <hyperlink ref="AI112" r:id="rId391"/>
    <hyperlink ref="AR112" r:id="rId392"/>
    <hyperlink ref="C113" r:id="rId393"/>
    <hyperlink ref="AC113" r:id="rId394"/>
    <hyperlink ref="AI113" r:id="rId395"/>
    <hyperlink ref="AR113" r:id="rId396"/>
    <hyperlink ref="C114" r:id="rId397"/>
    <hyperlink ref="AI114" r:id="rId398"/>
    <hyperlink ref="AR114" r:id="rId399"/>
    <hyperlink ref="C115" r:id="rId400"/>
    <hyperlink ref="AI115" r:id="rId401"/>
    <hyperlink ref="AR115" r:id="rId402"/>
    <hyperlink ref="C116" r:id="rId403"/>
    <hyperlink ref="AI116" r:id="rId404"/>
    <hyperlink ref="AR116" r:id="rId405"/>
    <hyperlink ref="C117" r:id="rId406"/>
    <hyperlink ref="AC117" r:id="rId407"/>
    <hyperlink ref="AI117" r:id="rId408"/>
    <hyperlink ref="AR117" r:id="rId409"/>
    <hyperlink ref="C118" r:id="rId410"/>
    <hyperlink ref="AI118" r:id="rId411"/>
    <hyperlink ref="AR118" r:id="rId412"/>
    <hyperlink ref="C119" r:id="rId413"/>
    <hyperlink ref="AI119" r:id="rId414"/>
    <hyperlink ref="AR119" r:id="rId415"/>
    <hyperlink ref="C120" r:id="rId416"/>
    <hyperlink ref="AI120" r:id="rId417"/>
    <hyperlink ref="AR120" r:id="rId418"/>
    <hyperlink ref="C121" r:id="rId419"/>
    <hyperlink ref="AI121" r:id="rId420"/>
    <hyperlink ref="AR121" r:id="rId421"/>
    <hyperlink ref="C122" r:id="rId422"/>
    <hyperlink ref="AC122" r:id="rId423"/>
    <hyperlink ref="AI122" r:id="rId424"/>
    <hyperlink ref="AR122" r:id="rId425"/>
    <hyperlink ref="C123" r:id="rId426"/>
    <hyperlink ref="AI123" r:id="rId427"/>
    <hyperlink ref="AR123" r:id="rId428"/>
    <hyperlink ref="C124" r:id="rId429"/>
    <hyperlink ref="AC124" r:id="rId430"/>
    <hyperlink ref="AI124" r:id="rId431"/>
    <hyperlink ref="AR124" r:id="rId432"/>
    <hyperlink ref="C125" r:id="rId433"/>
    <hyperlink ref="AI125" r:id="rId434"/>
    <hyperlink ref="AR125" r:id="rId435"/>
    <hyperlink ref="C126" r:id="rId436"/>
    <hyperlink ref="AC126" r:id="rId437"/>
    <hyperlink ref="AI126" r:id="rId438"/>
    <hyperlink ref="AR126" r:id="rId439"/>
    <hyperlink ref="C127" r:id="rId440"/>
    <hyperlink ref="AI127" r:id="rId441"/>
    <hyperlink ref="AR127" r:id="rId442"/>
    <hyperlink ref="C128" r:id="rId443"/>
    <hyperlink ref="AI128" r:id="rId444"/>
    <hyperlink ref="AR128" r:id="rId445"/>
    <hyperlink ref="C129" r:id="rId446"/>
    <hyperlink ref="AI129" r:id="rId447"/>
    <hyperlink ref="AR129" r:id="rId448"/>
    <hyperlink ref="C130" r:id="rId449"/>
    <hyperlink ref="AI130" r:id="rId450"/>
    <hyperlink ref="AR130" r:id="rId451"/>
    <hyperlink ref="C131" r:id="rId452"/>
    <hyperlink ref="AI131" r:id="rId453"/>
    <hyperlink ref="AR131" r:id="rId454"/>
    <hyperlink ref="C132" r:id="rId455"/>
    <hyperlink ref="AI132" r:id="rId456"/>
    <hyperlink ref="AR132" r:id="rId457"/>
    <hyperlink ref="C133" r:id="rId458"/>
    <hyperlink ref="AC133" r:id="rId459"/>
    <hyperlink ref="AI133" r:id="rId460"/>
    <hyperlink ref="AR133" r:id="rId461"/>
    <hyperlink ref="C134" r:id="rId462"/>
    <hyperlink ref="AC134" r:id="rId463"/>
    <hyperlink ref="AI134" r:id="rId464"/>
    <hyperlink ref="AR134" r:id="rId465"/>
    <hyperlink ref="C135" r:id="rId466"/>
    <hyperlink ref="AI135" r:id="rId467"/>
    <hyperlink ref="AR135" r:id="rId468"/>
    <hyperlink ref="C136" r:id="rId469"/>
    <hyperlink ref="AC136" r:id="rId470"/>
    <hyperlink ref="AI136" r:id="rId471"/>
    <hyperlink ref="AR136" r:id="rId472"/>
    <hyperlink ref="C137" r:id="rId473"/>
    <hyperlink ref="AC137" r:id="rId474"/>
    <hyperlink ref="AI137" r:id="rId475"/>
    <hyperlink ref="AR137" r:id="rId476"/>
    <hyperlink ref="C138" r:id="rId477"/>
    <hyperlink ref="AI138" r:id="rId478"/>
    <hyperlink ref="AR138" r:id="rId479"/>
    <hyperlink ref="C139" r:id="rId480"/>
    <hyperlink ref="AI139" r:id="rId481"/>
    <hyperlink ref="AR139" r:id="rId482"/>
    <hyperlink ref="C140" r:id="rId483"/>
    <hyperlink ref="AC140" r:id="rId484"/>
    <hyperlink ref="AI140" r:id="rId485"/>
    <hyperlink ref="AR140" r:id="rId486"/>
    <hyperlink ref="C141" r:id="rId487"/>
    <hyperlink ref="AI141" r:id="rId488"/>
    <hyperlink ref="AR141" r:id="rId489"/>
    <hyperlink ref="C142" r:id="rId490"/>
    <hyperlink ref="AC142" r:id="rId491"/>
    <hyperlink ref="AI142" r:id="rId492"/>
    <hyperlink ref="AR142" r:id="rId493"/>
    <hyperlink ref="C143" r:id="rId494"/>
    <hyperlink ref="AC143" r:id="rId495"/>
    <hyperlink ref="AI143" r:id="rId496"/>
    <hyperlink ref="AR143" r:id="rId497"/>
    <hyperlink ref="C144" r:id="rId498"/>
    <hyperlink ref="AC144" r:id="rId499"/>
    <hyperlink ref="AI144" r:id="rId500"/>
    <hyperlink ref="AR144" r:id="rId501"/>
    <hyperlink ref="C145" r:id="rId502"/>
    <hyperlink ref="AI145" r:id="rId503"/>
    <hyperlink ref="AR145" r:id="rId504"/>
    <hyperlink ref="C146" r:id="rId505"/>
    <hyperlink ref="AC146" r:id="rId506"/>
    <hyperlink ref="AI146" r:id="rId507"/>
    <hyperlink ref="AR146" r:id="rId508"/>
    <hyperlink ref="C147" r:id="rId509"/>
    <hyperlink ref="AI147" r:id="rId510"/>
    <hyperlink ref="AR147" r:id="rId511"/>
    <hyperlink ref="C148" r:id="rId512"/>
    <hyperlink ref="AI148" r:id="rId513"/>
    <hyperlink ref="AR148" r:id="rId514"/>
    <hyperlink ref="C149" r:id="rId515"/>
    <hyperlink ref="AC149" r:id="rId516"/>
    <hyperlink ref="AI149" r:id="rId517"/>
    <hyperlink ref="AR149" r:id="rId518"/>
    <hyperlink ref="C150" r:id="rId519"/>
    <hyperlink ref="AI150" r:id="rId520"/>
    <hyperlink ref="AR150" r:id="rId521"/>
    <hyperlink ref="C151" r:id="rId522"/>
    <hyperlink ref="AC151" r:id="rId523"/>
    <hyperlink ref="AI151" r:id="rId524"/>
    <hyperlink ref="AR151" r:id="rId525"/>
    <hyperlink ref="C152" r:id="rId526"/>
    <hyperlink ref="AI152" r:id="rId527"/>
    <hyperlink ref="AR152" r:id="rId528"/>
    <hyperlink ref="C153" r:id="rId529"/>
    <hyperlink ref="AI153" r:id="rId530"/>
    <hyperlink ref="AR153" r:id="rId531"/>
    <hyperlink ref="C154" r:id="rId532"/>
    <hyperlink ref="AC154" r:id="rId533"/>
    <hyperlink ref="AI154" r:id="rId534"/>
    <hyperlink ref="AR154" r:id="rId535"/>
    <hyperlink ref="C155" r:id="rId536"/>
    <hyperlink ref="AI155" r:id="rId537"/>
    <hyperlink ref="AR155" r:id="rId538"/>
    <hyperlink ref="C156" r:id="rId539"/>
    <hyperlink ref="AC156" r:id="rId540"/>
    <hyperlink ref="AI156" r:id="rId541"/>
    <hyperlink ref="AR156" r:id="rId542"/>
    <hyperlink ref="C157" r:id="rId543"/>
    <hyperlink ref="AC157" r:id="rId544"/>
    <hyperlink ref="AI157" r:id="rId545"/>
    <hyperlink ref="AR157" r:id="rId546"/>
    <hyperlink ref="C158" r:id="rId547"/>
    <hyperlink ref="AC158" r:id="rId548"/>
    <hyperlink ref="AI158" r:id="rId549"/>
    <hyperlink ref="AR158" r:id="rId550"/>
    <hyperlink ref="C159" r:id="rId551"/>
    <hyperlink ref="AI159" r:id="rId552"/>
    <hyperlink ref="AR159" r:id="rId553"/>
    <hyperlink ref="C160" r:id="rId554"/>
    <hyperlink ref="AI160" r:id="rId555"/>
    <hyperlink ref="AR160" r:id="rId556"/>
    <hyperlink ref="C161" r:id="rId557"/>
    <hyperlink ref="AI161" r:id="rId558"/>
    <hyperlink ref="AR161" r:id="rId559"/>
  </hyperlinks>
  <headerFooter/>
</worksheet>
</file>