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 1" sheetId="1" r:id="rId1"/>
  </sheets>
  <definedNames>
    <definedName name="_xlnm._FilterDatabase" localSheetId="0" hidden="1">'Sheet 1'!$A$5:$AX$28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<sst xmlns="http://schemas.openxmlformats.org/spreadsheetml/2006/main" count="883" uniqueCount="177">
  <si>
    <t/>
  </si>
  <si>
    <t>Pcs</t>
  </si>
  <si>
    <t>Carat</t>
  </si>
  <si>
    <t>Grand Total</t>
  </si>
  <si>
    <t>Sub Total</t>
  </si>
  <si>
    <t>Sr No</t>
  </si>
  <si>
    <t>Id</t>
  </si>
  <si>
    <t>Status</t>
  </si>
  <si>
    <t>Shape</t>
  </si>
  <si>
    <t>Weight</t>
  </si>
  <si>
    <t>Color</t>
  </si>
  <si>
    <t>Shade</t>
  </si>
  <si>
    <t>Clarity</t>
  </si>
  <si>
    <t>Cut</t>
  </si>
  <si>
    <t>Pol</t>
  </si>
  <si>
    <t>Sym</t>
  </si>
  <si>
    <t>Fluor</t>
  </si>
  <si>
    <t>PR/CT</t>
  </si>
  <si>
    <t>Dis %</t>
  </si>
  <si>
    <t>Amount</t>
  </si>
  <si>
    <t>BaseRate</t>
  </si>
  <si>
    <t>Lab</t>
  </si>
  <si>
    <t>View DNA</t>
  </si>
  <si>
    <t>Meas MM</t>
  </si>
  <si>
    <t>Height</t>
  </si>
  <si>
    <t>Dep%</t>
  </si>
  <si>
    <t>Tab%</t>
  </si>
  <si>
    <t>L/W</t>
  </si>
  <si>
    <t>Girdle</t>
  </si>
  <si>
    <t>Black</t>
  </si>
  <si>
    <t>White</t>
  </si>
  <si>
    <t>Natts</t>
  </si>
  <si>
    <t>Eye Clean</t>
  </si>
  <si>
    <t>Table Incl</t>
  </si>
  <si>
    <t>Table Open</t>
  </si>
  <si>
    <t>Pav Open</t>
  </si>
  <si>
    <t>Cr Open</t>
  </si>
  <si>
    <t>Ind Natural</t>
  </si>
  <si>
    <t>Cr Ex Facet</t>
  </si>
  <si>
    <t>PAV_EX_FACET</t>
  </si>
  <si>
    <t>Milky</t>
  </si>
  <si>
    <t>Key to Sym</t>
  </si>
  <si>
    <t>TYPE IIA</t>
  </si>
  <si>
    <t>Cr &gt;</t>
  </si>
  <si>
    <t>Cr Hgt%</t>
  </si>
  <si>
    <t>Pav &gt;</t>
  </si>
  <si>
    <t>Pav Hgt%</t>
  </si>
  <si>
    <t>H &amp; A</t>
  </si>
  <si>
    <t>Rating</t>
  </si>
  <si>
    <t>Culet</t>
  </si>
  <si>
    <t>CM</t>
  </si>
  <si>
    <t>Lab Comment</t>
  </si>
  <si>
    <t>Addl Comments</t>
  </si>
  <si>
    <t>Luster</t>
  </si>
  <si>
    <t>LOC</t>
  </si>
  <si>
    <t>5725215</t>
  </si>
  <si>
    <t>Available</t>
  </si>
  <si>
    <t>Oval</t>
  </si>
  <si>
    <t>F</t>
  </si>
  <si>
    <t>VVS1</t>
  </si>
  <si>
    <t>EX</t>
  </si>
  <si>
    <t>Fnt</t>
  </si>
  <si>
    <t>GIA</t>
  </si>
  <si>
    <t>DNA</t>
  </si>
  <si>
    <t>8.47*6.34</t>
  </si>
  <si>
    <t>THK to VTK</t>
  </si>
  <si>
    <t>None</t>
  </si>
  <si>
    <t>N0</t>
  </si>
  <si>
    <t>-</t>
  </si>
  <si>
    <t>T0</t>
  </si>
  <si>
    <t>Pinpoint</t>
  </si>
  <si>
    <t>K5</t>
  </si>
  <si>
    <t>CM Eligible</t>
  </si>
  <si>
    <t>INDIA</t>
  </si>
  <si>
    <t>5695680</t>
  </si>
  <si>
    <t>VG</t>
  </si>
  <si>
    <t>9.33*6.31</t>
  </si>
  <si>
    <t>THN to VTK</t>
  </si>
  <si>
    <t>Pinpoint, Cloud</t>
  </si>
  <si>
    <t>K3</t>
  </si>
  <si>
    <t>5695677</t>
  </si>
  <si>
    <t>9.12*6.42</t>
  </si>
  <si>
    <t>MED to VTK</t>
  </si>
  <si>
    <t>Pinpoint, Feather</t>
  </si>
  <si>
    <t>K4</t>
  </si>
  <si>
    <t>Surface graining is not shown.</t>
  </si>
  <si>
    <t>5713436</t>
  </si>
  <si>
    <t>9.22*6.35</t>
  </si>
  <si>
    <t>MED to THK</t>
  </si>
  <si>
    <t>Feather</t>
  </si>
  <si>
    <t>K2</t>
  </si>
  <si>
    <t>USA</t>
  </si>
  <si>
    <t>5712620</t>
  </si>
  <si>
    <t>9.31*6.20</t>
  </si>
  <si>
    <t>5725314</t>
  </si>
  <si>
    <t>G+</t>
  </si>
  <si>
    <t>8.62*6.43</t>
  </si>
  <si>
    <t>5702823</t>
  </si>
  <si>
    <t>E</t>
  </si>
  <si>
    <t>VVS2</t>
  </si>
  <si>
    <t>9.48*6.54</t>
  </si>
  <si>
    <t>VLFS</t>
  </si>
  <si>
    <t>Needle, Pinpoint, Feather</t>
  </si>
  <si>
    <t>Additional pinpoints are not shown. Surface graining is not shown.</t>
  </si>
  <si>
    <t>5675106</t>
  </si>
  <si>
    <t>G</t>
  </si>
  <si>
    <t>Med</t>
  </si>
  <si>
    <t>8.89*6.46</t>
  </si>
  <si>
    <t>VLFCS</t>
  </si>
  <si>
    <t>Clarity grade is based on internal graining that is not shown. Surface graining is not shown.</t>
  </si>
  <si>
    <t>TOP TINGE</t>
  </si>
  <si>
    <t>5709928</t>
  </si>
  <si>
    <t>VBR</t>
  </si>
  <si>
    <t>8.75*6.43</t>
  </si>
  <si>
    <t>STK to VTK</t>
  </si>
  <si>
    <t>VLFC</t>
  </si>
  <si>
    <t>T1</t>
  </si>
  <si>
    <t>Cloud, Pinpoint</t>
  </si>
  <si>
    <t>Additional pinpoints are not shown. Internal graining is not shown.</t>
  </si>
  <si>
    <t>5702524</t>
  </si>
  <si>
    <t>VS1</t>
  </si>
  <si>
    <t>9.34*6.46</t>
  </si>
  <si>
    <t>VLBC</t>
  </si>
  <si>
    <t>N1</t>
  </si>
  <si>
    <t>Crystal, Cloud, Needle</t>
  </si>
  <si>
    <t>Pinpoints are not shown.</t>
  </si>
  <si>
    <t>5747389</t>
  </si>
  <si>
    <t>GD</t>
  </si>
  <si>
    <t>9.42*6.28</t>
  </si>
  <si>
    <t>Feather, Pinpoint</t>
  </si>
  <si>
    <t>Additional pinpoints are not shown.</t>
  </si>
  <si>
    <t>5703591</t>
  </si>
  <si>
    <t>8.81*6.58</t>
  </si>
  <si>
    <t>VLBCS</t>
  </si>
  <si>
    <t>Crystal, Feather, Needle</t>
  </si>
  <si>
    <t>5712865</t>
  </si>
  <si>
    <t>8.64*6.40</t>
  </si>
  <si>
    <t>Crystal, Feather, Cloud, Needle</t>
  </si>
  <si>
    <t>5707239</t>
  </si>
  <si>
    <t>F+</t>
  </si>
  <si>
    <t>9.21*6.32</t>
  </si>
  <si>
    <t>MED to STK</t>
  </si>
  <si>
    <t>Crystal, Feather, Needle, Cloud</t>
  </si>
  <si>
    <t>5742551</t>
  </si>
  <si>
    <t>9.23*6.43</t>
  </si>
  <si>
    <t>K1</t>
  </si>
  <si>
    <t>5695644</t>
  </si>
  <si>
    <t>Memo</t>
  </si>
  <si>
    <t>8.94*6.69</t>
  </si>
  <si>
    <t>Feather, Cloud, Needle, Pinpoint</t>
  </si>
  <si>
    <t>5741107</t>
  </si>
  <si>
    <t>VS2</t>
  </si>
  <si>
    <t>9.05*6.35</t>
  </si>
  <si>
    <t>STK to THK</t>
  </si>
  <si>
    <t>EC</t>
  </si>
  <si>
    <t>Clouds are not shown. Pinpoints are not shown.</t>
  </si>
  <si>
    <t>5699171</t>
  </si>
  <si>
    <t>8.83*6.38</t>
  </si>
  <si>
    <t>LBC</t>
  </si>
  <si>
    <t>N2</t>
  </si>
  <si>
    <t>Cloud, Crystal, Feather, Needle</t>
  </si>
  <si>
    <t>5679616</t>
  </si>
  <si>
    <t>9.10*6.58</t>
  </si>
  <si>
    <t>LFCS</t>
  </si>
  <si>
    <t>T2</t>
  </si>
  <si>
    <t>Additional clouds are not shown. Pinpoints are not shown.</t>
  </si>
  <si>
    <t>5695654</t>
  </si>
  <si>
    <t>9.48*6.32</t>
  </si>
  <si>
    <t>5674320</t>
  </si>
  <si>
    <t>8.67*6.44</t>
  </si>
  <si>
    <t>5734765</t>
  </si>
  <si>
    <t>9.25*6.45</t>
  </si>
  <si>
    <t>THN to STK</t>
  </si>
  <si>
    <t>LFS</t>
  </si>
  <si>
    <t>5656967</t>
  </si>
  <si>
    <t>VS2+</t>
  </si>
  <si>
    <t>9.16*6.23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</si>
</sst>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rgb="FF000000"/>
      <name val="Calibri"/>
      <charset val="134"/>
    </font>
    <font>
      <b/>
      <sz val="12"/>
      <color rgb="FFFFFFFF"/>
      <name val="Calibri"/>
      <charset val="134"/>
    </font>
    <font>
      <b/>
      <sz val="12"/>
      <color rgb="FF000000"/>
      <name val="Calibri"/>
      <charset val="134"/>
    </font>
    <font>
      <u/>
      <sz val="12"/>
      <color rgb="FF1100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 applyAlignment="0" applyProtection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3ala6utm5rxsh.cloudfront.net/Images/6532794185.jpg" TargetMode="External"/><Relationship Id="rId8" Type="http://schemas.openxmlformats.org/officeDocument/2006/relationships/hyperlink" Target="https://site.kapugems.com/#/dna-one/41562432?key=7tRvkp%23UUxy1sXx0GZhTQX5GmY4@k5pr" TargetMode="External"/><Relationship Id="rId7" Type="http://schemas.openxmlformats.org/officeDocument/2006/relationships/hyperlink" Target="https://d3ala6utm5rxsh.cloudfront.net/Images/5231753296.jpg" TargetMode="External"/><Relationship Id="rId6" Type="http://schemas.openxmlformats.org/officeDocument/2006/relationships/hyperlink" Target="https://site.kapugems.com/#/dna-one/39452095?key=7tRvkp%23UUxy1sXx0GZhTQX5GmY4@k5pr" TargetMode="External"/><Relationship Id="rId5" Type="http://schemas.openxmlformats.org/officeDocument/2006/relationships/hyperlink" Target="https://d3ala6utm5rxsh.cloudfront.net/Images/5526657027.jpg" TargetMode="External"/><Relationship Id="rId46" Type="http://schemas.openxmlformats.org/officeDocument/2006/relationships/hyperlink" Target="https://site.kapugems.com/#/dna-one/37785947?key=7tRvkp%23UUxy1sXx0GZhTQX5GmY4@k5pr" TargetMode="External"/><Relationship Id="rId45" Type="http://schemas.openxmlformats.org/officeDocument/2006/relationships/hyperlink" Target="https://d3ala6utm5rxsh.cloudfront.net/Images/2516796660.jpg" TargetMode="External"/><Relationship Id="rId44" Type="http://schemas.openxmlformats.org/officeDocument/2006/relationships/hyperlink" Target="https://site.kapugems.com/#/dna-one/41743364?key=7tRvkp%23UUxy1sXx0GZhTQX5GmY4@k5pr" TargetMode="External"/><Relationship Id="rId43" Type="http://schemas.openxmlformats.org/officeDocument/2006/relationships/hyperlink" Target="https://d3ala6utm5rxsh.cloudfront.net/Images/2537943194.jpg" TargetMode="External"/><Relationship Id="rId42" Type="http://schemas.openxmlformats.org/officeDocument/2006/relationships/hyperlink" Target="https://site.kapugems.com/#/dna-one/38272905?key=7tRvkp%23UUxy1sXx0GZhTQX5GmY4@k5pr" TargetMode="External"/><Relationship Id="rId41" Type="http://schemas.openxmlformats.org/officeDocument/2006/relationships/hyperlink" Target="https://d3ala6utm5rxsh.cloudfront.net/Images/6522054937.jpg" TargetMode="External"/><Relationship Id="rId40" Type="http://schemas.openxmlformats.org/officeDocument/2006/relationships/hyperlink" Target="https://site.kapugems.com/#/dna-one/41710296?key=7tRvkp%23UUxy1sXx0GZhTQX5GmY4@k5pr" TargetMode="External"/><Relationship Id="rId4" Type="http://schemas.openxmlformats.org/officeDocument/2006/relationships/hyperlink" Target="https://site.kapugems.com/#/dna-one/41152835?key=7tRvkp%23UUxy1sXx0GZhTQX5GmY4@k5pr" TargetMode="External"/><Relationship Id="rId39" Type="http://schemas.openxmlformats.org/officeDocument/2006/relationships/hyperlink" Target="https://d3ala6utm5rxsh.cloudfront.net/Images/2235753301.jpg" TargetMode="External"/><Relationship Id="rId38" Type="http://schemas.openxmlformats.org/officeDocument/2006/relationships/hyperlink" Target="https://site.kapugems.com/#/dna-one/39259704?key=7tRvkp%23UUxy1sXx0GZhTQX5GmY4@k5pr" TargetMode="External"/><Relationship Id="rId37" Type="http://schemas.openxmlformats.org/officeDocument/2006/relationships/hyperlink" Target="https://d3ala6utm5rxsh.cloudfront.net/Images/1523534591.jpg" TargetMode="External"/><Relationship Id="rId36" Type="http://schemas.openxmlformats.org/officeDocument/2006/relationships/hyperlink" Target="https://site.kapugems.com/#/dna-one/41562381?key=7tRvkp%23UUxy1sXx0GZhTQX5GmY4@k5pr" TargetMode="External"/><Relationship Id="rId35" Type="http://schemas.openxmlformats.org/officeDocument/2006/relationships/hyperlink" Target="https://d3ala6utm5rxsh.cloudfront.net/Images/5533794092.jpg" TargetMode="External"/><Relationship Id="rId34" Type="http://schemas.openxmlformats.org/officeDocument/2006/relationships/hyperlink" Target="https://site.kapugems.com/#/dna-one/42484025?key=7tRvkp%23UUxy1sXx0GZhTQX5GmY4@k5pr" TargetMode="External"/><Relationship Id="rId33" Type="http://schemas.openxmlformats.org/officeDocument/2006/relationships/hyperlink" Target="https://d3ala6utm5rxsh.cloudfront.net/Images/7542249689.jpg" TargetMode="External"/><Relationship Id="rId32" Type="http://schemas.openxmlformats.org/officeDocument/2006/relationships/hyperlink" Target="https://site.kapugems.com/#/dna-one/41036373?key=7tRvkp%23UUxy1sXx0GZhTQX5GmY4@k5pr" TargetMode="External"/><Relationship Id="rId31" Type="http://schemas.openxmlformats.org/officeDocument/2006/relationships/hyperlink" Target="https://d3ala6utm5rxsh.cloudfront.net/Images/7536509040.jpg" TargetMode="External"/><Relationship Id="rId30" Type="http://schemas.openxmlformats.org/officeDocument/2006/relationships/hyperlink" Target="https://site.kapugems.com/#/dna-one/41673702?key=7tRvkp%23UUxy1sXx0GZhTQX5GmY4@k5pr" TargetMode="External"/><Relationship Id="rId3" Type="http://schemas.openxmlformats.org/officeDocument/2006/relationships/hyperlink" Target="https://d3ala6utm5rxsh.cloudfront.net/Images/6532565132.jpg" TargetMode="External"/><Relationship Id="rId29" Type="http://schemas.openxmlformats.org/officeDocument/2006/relationships/hyperlink" Target="https://d3ala6utm5rxsh.cloudfront.net/Images/1535896892.jpg" TargetMode="External"/><Relationship Id="rId28" Type="http://schemas.openxmlformats.org/officeDocument/2006/relationships/hyperlink" Target="https://site.kapugems.com/#/dna-one/41710320?key=7tRvkp%23UUxy1sXx0GZhTQX5GmY4@k5pr" TargetMode="External"/><Relationship Id="rId27" Type="http://schemas.openxmlformats.org/officeDocument/2006/relationships/hyperlink" Target="https://d3ala6utm5rxsh.cloudfront.net/Images/6531927653.jpg" TargetMode="External"/><Relationship Id="rId26" Type="http://schemas.openxmlformats.org/officeDocument/2006/relationships/hyperlink" Target="https://site.kapugems.com/#/dna-one/41531392?key=7tRvkp%23UUxy1sXx0GZhTQX5GmY4@k5pr" TargetMode="External"/><Relationship Id="rId25" Type="http://schemas.openxmlformats.org/officeDocument/2006/relationships/hyperlink" Target="https://d3ala6utm5rxsh.cloudfront.net/Images/1535778542.jpg" TargetMode="External"/><Relationship Id="rId24" Type="http://schemas.openxmlformats.org/officeDocument/2006/relationships/hyperlink" Target="https://site.kapugems.com/#/dna-one/40241673?key=7tRvkp%23UUxy1sXx0GZhTQX5GmY4@k5pr" TargetMode="External"/><Relationship Id="rId23" Type="http://schemas.openxmlformats.org/officeDocument/2006/relationships/hyperlink" Target="https://d3ala6utm5rxsh.cloudfront.net/Images/1525987095.jpg" TargetMode="External"/><Relationship Id="rId22" Type="http://schemas.openxmlformats.org/officeDocument/2006/relationships/hyperlink" Target="https://site.kapugems.com/#/dna-one/41837772?key=7tRvkp%23UUxy1sXx0GZhTQX5GmY4@k5pr" TargetMode="External"/><Relationship Id="rId21" Type="http://schemas.openxmlformats.org/officeDocument/2006/relationships/hyperlink" Target="https://d3ala6utm5rxsh.cloudfront.net/Images/6531866008.jpg" TargetMode="External"/><Relationship Id="rId20" Type="http://schemas.openxmlformats.org/officeDocument/2006/relationships/hyperlink" Target="https://site.kapugems.com/#/dna-one/41277782?key=7tRvkp%23UUxy1sXx0GZhTQX5GmY4@k5pr" TargetMode="External"/><Relationship Id="rId2" Type="http://schemas.openxmlformats.org/officeDocument/2006/relationships/hyperlink" Target="https://site.kapugems.com/#/dna-one/41778066?key=7tRvkp%23UUxy1sXx0GZhTQX5GmY4@k5pr" TargetMode="External"/><Relationship Id="rId19" Type="http://schemas.openxmlformats.org/officeDocument/2006/relationships/hyperlink" Target="https://d3ala6utm5rxsh.cloudfront.net/Images/6531471723.jpg" TargetMode="External"/><Relationship Id="rId18" Type="http://schemas.openxmlformats.org/officeDocument/2006/relationships/hyperlink" Target="https://site.kapugems.com/#/dna-one/41759499?key=7tRvkp%23UUxy1sXx0GZhTQX5GmY4@k5pr" TargetMode="External"/><Relationship Id="rId17" Type="http://schemas.openxmlformats.org/officeDocument/2006/relationships/hyperlink" Target="https://d3ala6utm5rxsh.cloudfront.net/Images/6531950491.jpg" TargetMode="External"/><Relationship Id="rId16" Type="http://schemas.openxmlformats.org/officeDocument/2006/relationships/hyperlink" Target="https://site.kapugems.com/#/dna-one/38379714?key=7tRvkp%23UUxy1sXx0GZhTQX5GmY4@k5pr" TargetMode="External"/><Relationship Id="rId15" Type="http://schemas.openxmlformats.org/officeDocument/2006/relationships/hyperlink" Target="https://d3ala6utm5rxsh.cloudfront.net/Images/6525130900.jpg" TargetMode="External"/><Relationship Id="rId14" Type="http://schemas.openxmlformats.org/officeDocument/2006/relationships/hyperlink" Target="https://site.kapugems.com/#/dna-one/40991484?key=7tRvkp%23UUxy1sXx0GZhTQX5GmY4@k5pr" TargetMode="External"/><Relationship Id="rId13" Type="http://schemas.openxmlformats.org/officeDocument/2006/relationships/hyperlink" Target="https://d3ala6utm5rxsh.cloudfront.net/Images/2537506103.jpg" TargetMode="External"/><Relationship Id="rId12" Type="http://schemas.openxmlformats.org/officeDocument/2006/relationships/hyperlink" Target="https://site.kapugems.com/#/dna-one/42049512?key=7tRvkp%23UUxy1sXx0GZhTQX5GmY4@k5pr" TargetMode="External"/><Relationship Id="rId11" Type="http://schemas.openxmlformats.org/officeDocument/2006/relationships/hyperlink" Target="https://d3ala6utm5rxsh.cloudfront.net/Images/1236819195.jpg" TargetMode="External"/><Relationship Id="rId10" Type="http://schemas.openxmlformats.org/officeDocument/2006/relationships/hyperlink" Target="https://site.kapugems.com/#/dna-one/41562428?key=7tRvkp%23UUxy1sXx0GZhTQX5GmY4@k5pr" TargetMode="External"/><Relationship Id="rId1" Type="http://schemas.openxmlformats.org/officeDocument/2006/relationships/hyperlink" Target="https://d3ala6utm5rxsh.cloudfront.net/Images/653197656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8"/>
  <sheetViews>
    <sheetView tabSelected="1" workbookViewId="0">
      <pane xSplit="2" ySplit="5" topLeftCell="O6" activePane="bottomRight" state="frozen"/>
      <selection/>
      <selection pane="topRight"/>
      <selection pane="bottomLeft"/>
      <selection pane="bottomRight" activeCell="A1" sqref="A1"/>
    </sheetView>
  </sheetViews>
  <sheetFormatPr defaultColWidth="11" defaultRowHeight="17.6"/>
  <cols>
    <col min="1" max="1" width="10" customWidth="1"/>
    <col min="2" max="3" width="12" customWidth="1"/>
    <col min="4" max="4" width="8" customWidth="1"/>
    <col min="5" max="5" width="9" customWidth="1"/>
    <col min="6" max="7" width="8" customWidth="1"/>
    <col min="8" max="8" width="10" customWidth="1"/>
    <col min="9" max="11" width="6" customWidth="1"/>
    <col min="12" max="12" width="8" customWidth="1"/>
    <col min="13" max="13" width="10" customWidth="1"/>
    <col min="14" max="14" width="8" customWidth="1"/>
    <col min="15" max="16" width="11" customWidth="1"/>
    <col min="17" max="17" width="6" customWidth="1"/>
    <col min="18" max="18" width="10" customWidth="1"/>
    <col min="19" max="19" width="12" customWidth="1"/>
    <col min="20" max="20" width="9" customWidth="1"/>
    <col min="21" max="23" width="7" customWidth="1"/>
    <col min="24" max="24" width="13" customWidth="1"/>
    <col min="25" max="27" width="8" customWidth="1"/>
    <col min="28" max="28" width="12" customWidth="1"/>
    <col min="29" max="30" width="13" customWidth="1"/>
    <col min="31" max="31" width="11" customWidth="1"/>
    <col min="32" max="32" width="10" customWidth="1"/>
    <col min="33" max="34" width="14" customWidth="1"/>
    <col min="35" max="35" width="15" customWidth="1"/>
    <col min="36" max="36" width="8" customWidth="1"/>
    <col min="37" max="37" width="35" customWidth="1"/>
    <col min="38" max="38" width="11" customWidth="1"/>
    <col min="39" max="39" width="8" customWidth="1"/>
    <col min="40" max="40" width="10" customWidth="1"/>
    <col min="41" max="41" width="8" customWidth="1"/>
    <col min="42" max="42" width="11" customWidth="1"/>
    <col min="43" max="43" width="8" customWidth="1"/>
    <col min="44" max="44" width="9" customWidth="1"/>
    <col min="45" max="45" width="8" customWidth="1"/>
    <col min="46" max="46" width="14" customWidth="1"/>
    <col min="47" max="47" width="96" customWidth="1"/>
    <col min="48" max="48" width="16" customWidth="1"/>
    <col min="49" max="49" width="9" customWidth="1"/>
    <col min="50" max="50" width="8" customWidth="1"/>
  </cols>
  <sheetData>
    <row r="1" spans="3:6">
      <c r="C1" s="1" t="s">
        <v>0</v>
      </c>
      <c r="D1" s="1"/>
      <c r="E1" s="1" t="s">
        <v>1</v>
      </c>
      <c r="F1" s="1" t="s">
        <v>2</v>
      </c>
    </row>
    <row r="2" spans="3:6">
      <c r="C2" s="1" t="s">
        <v>3</v>
      </c>
      <c r="D2" s="1"/>
      <c r="E2" s="1">
        <f>COUNT(A6:A28)</f>
        <v>23</v>
      </c>
      <c r="F2" s="1">
        <f>ROUND(SUM(E6:E28),2)</f>
        <v>34.82</v>
      </c>
    </row>
    <row r="3" spans="3:6">
      <c r="C3" s="1" t="s">
        <v>4</v>
      </c>
      <c r="D3" s="1"/>
      <c r="E3" s="1">
        <f>SUBTOTAL(2,A6:A28)</f>
        <v>23</v>
      </c>
      <c r="F3" s="1">
        <f>ROUND(SUBTOTAL(9,E6:E28),2)</f>
        <v>34.82</v>
      </c>
    </row>
    <row r="5" ht="18" spans="1:50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22</v>
      </c>
      <c r="S5" s="2" t="s">
        <v>23</v>
      </c>
      <c r="T5" s="2" t="s">
        <v>24</v>
      </c>
      <c r="U5" s="2" t="s">
        <v>25</v>
      </c>
      <c r="V5" s="2" t="s">
        <v>26</v>
      </c>
      <c r="W5" s="2" t="s">
        <v>27</v>
      </c>
      <c r="X5" s="2" t="s">
        <v>28</v>
      </c>
      <c r="Y5" s="2" t="s">
        <v>29</v>
      </c>
      <c r="Z5" s="2" t="s">
        <v>30</v>
      </c>
      <c r="AA5" s="2" t="s">
        <v>31</v>
      </c>
      <c r="AB5" s="2" t="s">
        <v>32</v>
      </c>
      <c r="AC5" s="2" t="s">
        <v>33</v>
      </c>
      <c r="AD5" s="2" t="s">
        <v>34</v>
      </c>
      <c r="AE5" s="2" t="s">
        <v>35</v>
      </c>
      <c r="AF5" s="2" t="s">
        <v>36</v>
      </c>
      <c r="AG5" s="2" t="s">
        <v>37</v>
      </c>
      <c r="AH5" s="2" t="s">
        <v>38</v>
      </c>
      <c r="AI5" s="2" t="s">
        <v>39</v>
      </c>
      <c r="AJ5" s="2" t="s">
        <v>40</v>
      </c>
      <c r="AK5" s="2" t="s">
        <v>41</v>
      </c>
      <c r="AL5" s="2" t="s">
        <v>42</v>
      </c>
      <c r="AM5" s="2" t="s">
        <v>43</v>
      </c>
      <c r="AN5" s="2" t="s">
        <v>44</v>
      </c>
      <c r="AO5" s="2" t="s">
        <v>45</v>
      </c>
      <c r="AP5" s="2" t="s">
        <v>46</v>
      </c>
      <c r="AQ5" s="2" t="s">
        <v>47</v>
      </c>
      <c r="AR5" s="2" t="s">
        <v>48</v>
      </c>
      <c r="AS5" s="2" t="s">
        <v>49</v>
      </c>
      <c r="AT5" s="2" t="s">
        <v>50</v>
      </c>
      <c r="AU5" s="2" t="s">
        <v>51</v>
      </c>
      <c r="AV5" s="2" t="s">
        <v>52</v>
      </c>
      <c r="AW5" s="2" t="s">
        <v>53</v>
      </c>
      <c r="AX5" s="2" t="s">
        <v>54</v>
      </c>
    </row>
    <row r="6" spans="1:104">
      <c r="A6" s="3">
        <v>1</v>
      </c>
      <c r="B6" s="3" t="s">
        <v>55</v>
      </c>
      <c r="C6" s="3" t="s">
        <v>56</v>
      </c>
      <c r="D6" s="3" t="s">
        <v>57</v>
      </c>
      <c r="E6" s="3">
        <v>1.5</v>
      </c>
      <c r="F6" s="3" t="s">
        <v>58</v>
      </c>
      <c r="G6" s="3" t="s">
        <v>0</v>
      </c>
      <c r="H6" s="3" t="s">
        <v>59</v>
      </c>
      <c r="I6" s="3" t="s">
        <v>0</v>
      </c>
      <c r="J6" s="3" t="s">
        <v>60</v>
      </c>
      <c r="K6" s="3" t="s">
        <v>60</v>
      </c>
      <c r="L6" s="3" t="s">
        <v>61</v>
      </c>
      <c r="M6" s="3">
        <v>5957</v>
      </c>
      <c r="N6" s="4">
        <v>-48.2</v>
      </c>
      <c r="O6" s="3">
        <v>8935.5</v>
      </c>
      <c r="P6" s="3">
        <v>11500</v>
      </c>
      <c r="Q6" s="5" t="s">
        <v>62</v>
      </c>
      <c r="R6" s="5" t="s">
        <v>63</v>
      </c>
      <c r="S6" s="3" t="s">
        <v>64</v>
      </c>
      <c r="T6" s="3">
        <v>4.11</v>
      </c>
      <c r="U6" s="3">
        <v>64.8</v>
      </c>
      <c r="V6" s="3">
        <v>61</v>
      </c>
      <c r="W6" s="3">
        <v>1.33</v>
      </c>
      <c r="X6" s="3" t="s">
        <v>65</v>
      </c>
      <c r="Y6" s="3" t="s">
        <v>66</v>
      </c>
      <c r="Z6" s="3" t="s">
        <v>66</v>
      </c>
      <c r="AA6" s="3" t="s">
        <v>67</v>
      </c>
      <c r="AB6" s="3" t="s">
        <v>68</v>
      </c>
      <c r="AC6" s="3" t="s">
        <v>69</v>
      </c>
      <c r="AD6" s="3" t="s">
        <v>68</v>
      </c>
      <c r="AE6" s="3" t="s">
        <v>68</v>
      </c>
      <c r="AF6" s="3" t="s">
        <v>68</v>
      </c>
      <c r="AG6" s="3" t="s">
        <v>68</v>
      </c>
      <c r="AH6" s="3" t="s">
        <v>0</v>
      </c>
      <c r="AI6" s="3" t="s">
        <v>0</v>
      </c>
      <c r="AJ6" s="3" t="s">
        <v>66</v>
      </c>
      <c r="AK6" s="3" t="s">
        <v>70</v>
      </c>
      <c r="AL6" s="3" t="s">
        <v>0</v>
      </c>
      <c r="AM6" s="3">
        <v>37.6</v>
      </c>
      <c r="AN6" s="3">
        <v>15.3</v>
      </c>
      <c r="AO6" s="3">
        <v>39.9</v>
      </c>
      <c r="AP6" s="3">
        <v>43.5</v>
      </c>
      <c r="AQ6" s="3" t="s">
        <v>0</v>
      </c>
      <c r="AR6" s="3" t="s">
        <v>71</v>
      </c>
      <c r="AS6" s="3" t="s">
        <v>66</v>
      </c>
      <c r="AT6" s="3" t="s">
        <v>72</v>
      </c>
      <c r="AU6" s="3" t="s">
        <v>0</v>
      </c>
      <c r="AV6" s="3" t="s">
        <v>0</v>
      </c>
      <c r="AW6" s="3" t="s">
        <v>60</v>
      </c>
      <c r="AX6" s="3" t="s">
        <v>73</v>
      </c>
      <c r="CY6">
        <v>1</v>
      </c>
      <c r="CZ6" s="1">
        <f>TRUNC((O6/CY6),2)</f>
        <v>8935.5</v>
      </c>
    </row>
    <row r="7" spans="1:50">
      <c r="A7" s="3">
        <v>2</v>
      </c>
      <c r="B7" s="3" t="s">
        <v>74</v>
      </c>
      <c r="C7" s="3" t="s">
        <v>56</v>
      </c>
      <c r="D7" s="3" t="s">
        <v>57</v>
      </c>
      <c r="E7" s="3">
        <v>1.5</v>
      </c>
      <c r="F7" s="3" t="s">
        <v>58</v>
      </c>
      <c r="G7" s="3" t="s">
        <v>0</v>
      </c>
      <c r="H7" s="3" t="s">
        <v>59</v>
      </c>
      <c r="I7" s="3" t="s">
        <v>0</v>
      </c>
      <c r="J7" s="3" t="s">
        <v>60</v>
      </c>
      <c r="K7" s="3" t="s">
        <v>75</v>
      </c>
      <c r="L7" s="3" t="s">
        <v>66</v>
      </c>
      <c r="M7" s="3">
        <v>7555.5</v>
      </c>
      <c r="N7" s="4">
        <v>-34.3</v>
      </c>
      <c r="O7" s="3">
        <v>11333.25</v>
      </c>
      <c r="P7" s="3">
        <v>11500</v>
      </c>
      <c r="Q7" s="5" t="s">
        <v>62</v>
      </c>
      <c r="R7" s="5" t="s">
        <v>63</v>
      </c>
      <c r="S7" s="3" t="s">
        <v>76</v>
      </c>
      <c r="T7" s="3">
        <v>3.89</v>
      </c>
      <c r="U7" s="3">
        <v>61.6</v>
      </c>
      <c r="V7" s="3">
        <v>55</v>
      </c>
      <c r="W7" s="3">
        <v>1.48</v>
      </c>
      <c r="X7" s="3" t="s">
        <v>77</v>
      </c>
      <c r="Y7" s="3" t="s">
        <v>66</v>
      </c>
      <c r="Z7" s="3" t="s">
        <v>66</v>
      </c>
      <c r="AA7" s="3" t="s">
        <v>67</v>
      </c>
      <c r="AB7" s="3" t="s">
        <v>68</v>
      </c>
      <c r="AC7" s="3" t="s">
        <v>69</v>
      </c>
      <c r="AD7" s="3" t="s">
        <v>68</v>
      </c>
      <c r="AE7" s="3" t="s">
        <v>68</v>
      </c>
      <c r="AF7" s="3" t="s">
        <v>68</v>
      </c>
      <c r="AG7" s="3" t="s">
        <v>68</v>
      </c>
      <c r="AH7" s="3" t="s">
        <v>0</v>
      </c>
      <c r="AI7" s="3" t="s">
        <v>0</v>
      </c>
      <c r="AJ7" s="3" t="s">
        <v>66</v>
      </c>
      <c r="AK7" s="3" t="s">
        <v>78</v>
      </c>
      <c r="AL7" s="3" t="s">
        <v>0</v>
      </c>
      <c r="AM7" s="3">
        <v>37.3</v>
      </c>
      <c r="AN7" s="3">
        <v>17.6</v>
      </c>
      <c r="AO7" s="3">
        <v>36.2</v>
      </c>
      <c r="AP7" s="3">
        <v>39.3</v>
      </c>
      <c r="AQ7" s="3" t="s">
        <v>0</v>
      </c>
      <c r="AR7" s="3" t="s">
        <v>79</v>
      </c>
      <c r="AS7" s="3" t="s">
        <v>66</v>
      </c>
      <c r="AT7" s="3" t="s">
        <v>72</v>
      </c>
      <c r="AU7" s="3" t="s">
        <v>0</v>
      </c>
      <c r="AV7" s="3" t="s">
        <v>0</v>
      </c>
      <c r="AW7" s="3" t="s">
        <v>60</v>
      </c>
      <c r="AX7" s="3" t="s">
        <v>73</v>
      </c>
    </row>
    <row r="8" spans="1:50">
      <c r="A8" s="3">
        <v>3</v>
      </c>
      <c r="B8" s="3" t="s">
        <v>80</v>
      </c>
      <c r="C8" s="3" t="s">
        <v>56</v>
      </c>
      <c r="D8" s="3" t="s">
        <v>57</v>
      </c>
      <c r="E8" s="3">
        <v>1.56</v>
      </c>
      <c r="F8" s="3" t="s">
        <v>58</v>
      </c>
      <c r="G8" s="3" t="s">
        <v>0</v>
      </c>
      <c r="H8" s="3" t="s">
        <v>59</v>
      </c>
      <c r="I8" s="3" t="s">
        <v>0</v>
      </c>
      <c r="J8" s="3" t="s">
        <v>60</v>
      </c>
      <c r="K8" s="3" t="s">
        <v>60</v>
      </c>
      <c r="L8" s="3" t="s">
        <v>66</v>
      </c>
      <c r="M8" s="3">
        <v>7555.5</v>
      </c>
      <c r="N8" s="4">
        <v>-34.3</v>
      </c>
      <c r="O8" s="3">
        <v>11786.58</v>
      </c>
      <c r="P8" s="3">
        <v>11500</v>
      </c>
      <c r="Q8" s="5" t="s">
        <v>62</v>
      </c>
      <c r="R8" s="5" t="s">
        <v>63</v>
      </c>
      <c r="S8" s="3" t="s">
        <v>81</v>
      </c>
      <c r="T8" s="3">
        <v>4.1</v>
      </c>
      <c r="U8" s="3">
        <v>63.9</v>
      </c>
      <c r="V8" s="3">
        <v>58</v>
      </c>
      <c r="W8" s="3">
        <v>1.42</v>
      </c>
      <c r="X8" s="3" t="s">
        <v>82</v>
      </c>
      <c r="Y8" s="3" t="s">
        <v>66</v>
      </c>
      <c r="Z8" s="3" t="s">
        <v>66</v>
      </c>
      <c r="AA8" s="3" t="s">
        <v>67</v>
      </c>
      <c r="AB8" s="3" t="s">
        <v>68</v>
      </c>
      <c r="AC8" s="3" t="s">
        <v>69</v>
      </c>
      <c r="AD8" s="3" t="s">
        <v>68</v>
      </c>
      <c r="AE8" s="3" t="s">
        <v>68</v>
      </c>
      <c r="AF8" s="3" t="s">
        <v>68</v>
      </c>
      <c r="AG8" s="3" t="s">
        <v>68</v>
      </c>
      <c r="AH8" s="3" t="s">
        <v>0</v>
      </c>
      <c r="AI8" s="3" t="s">
        <v>0</v>
      </c>
      <c r="AJ8" s="3" t="s">
        <v>66</v>
      </c>
      <c r="AK8" s="3" t="s">
        <v>83</v>
      </c>
      <c r="AL8" s="3" t="s">
        <v>0</v>
      </c>
      <c r="AM8" s="3">
        <v>36.8</v>
      </c>
      <c r="AN8" s="3">
        <v>14.8</v>
      </c>
      <c r="AO8" s="3">
        <v>38</v>
      </c>
      <c r="AP8" s="3">
        <v>46</v>
      </c>
      <c r="AQ8" s="3" t="s">
        <v>0</v>
      </c>
      <c r="AR8" s="3" t="s">
        <v>84</v>
      </c>
      <c r="AS8" s="3" t="s">
        <v>66</v>
      </c>
      <c r="AT8" s="3" t="s">
        <v>72</v>
      </c>
      <c r="AU8" s="3" t="s">
        <v>85</v>
      </c>
      <c r="AV8" s="3" t="s">
        <v>0</v>
      </c>
      <c r="AW8" s="3" t="s">
        <v>60</v>
      </c>
      <c r="AX8" s="3" t="s">
        <v>73</v>
      </c>
    </row>
    <row r="9" spans="1:104">
      <c r="A9" s="3">
        <v>4</v>
      </c>
      <c r="B9" s="3" t="s">
        <v>86</v>
      </c>
      <c r="C9" s="3" t="s">
        <v>56</v>
      </c>
      <c r="D9" s="3" t="s">
        <v>57</v>
      </c>
      <c r="E9" s="3">
        <v>1.58</v>
      </c>
      <c r="F9" s="3" t="s">
        <v>58</v>
      </c>
      <c r="G9" s="3" t="s">
        <v>0</v>
      </c>
      <c r="H9" s="3" t="s">
        <v>59</v>
      </c>
      <c r="I9" s="3" t="s">
        <v>0</v>
      </c>
      <c r="J9" s="3" t="s">
        <v>60</v>
      </c>
      <c r="K9" s="3" t="s">
        <v>60</v>
      </c>
      <c r="L9" s="3" t="s">
        <v>66</v>
      </c>
      <c r="M9" s="3">
        <v>7555.5</v>
      </c>
      <c r="N9" s="4">
        <v>-34.3</v>
      </c>
      <c r="O9" s="3">
        <v>11937.69</v>
      </c>
      <c r="P9" s="3">
        <v>11500</v>
      </c>
      <c r="Q9" s="5" t="s">
        <v>62</v>
      </c>
      <c r="R9" s="5" t="s">
        <v>63</v>
      </c>
      <c r="S9" s="3" t="s">
        <v>87</v>
      </c>
      <c r="T9" s="3">
        <v>4.07</v>
      </c>
      <c r="U9" s="3">
        <v>64</v>
      </c>
      <c r="V9" s="3">
        <v>60</v>
      </c>
      <c r="W9" s="3">
        <v>1.45</v>
      </c>
      <c r="X9" s="3" t="s">
        <v>88</v>
      </c>
      <c r="Y9" s="3" t="s">
        <v>66</v>
      </c>
      <c r="Z9" s="3" t="s">
        <v>66</v>
      </c>
      <c r="AA9" s="3" t="s">
        <v>67</v>
      </c>
      <c r="AB9" s="3" t="s">
        <v>68</v>
      </c>
      <c r="AC9" s="3" t="s">
        <v>69</v>
      </c>
      <c r="AD9" s="3" t="s">
        <v>68</v>
      </c>
      <c r="AE9" s="3" t="s">
        <v>68</v>
      </c>
      <c r="AF9" s="3" t="s">
        <v>68</v>
      </c>
      <c r="AG9" s="3" t="s">
        <v>68</v>
      </c>
      <c r="AH9" s="3" t="s">
        <v>0</v>
      </c>
      <c r="AI9" s="3" t="s">
        <v>0</v>
      </c>
      <c r="AJ9" s="3" t="s">
        <v>66</v>
      </c>
      <c r="AK9" s="3" t="s">
        <v>89</v>
      </c>
      <c r="AL9" s="3" t="s">
        <v>0</v>
      </c>
      <c r="AM9" s="3">
        <v>38.9</v>
      </c>
      <c r="AN9" s="3">
        <v>15.3</v>
      </c>
      <c r="AO9" s="3">
        <v>36.9</v>
      </c>
      <c r="AP9" s="3">
        <v>44.8</v>
      </c>
      <c r="AQ9" s="3" t="s">
        <v>0</v>
      </c>
      <c r="AR9" s="3" t="s">
        <v>90</v>
      </c>
      <c r="AS9" s="3" t="s">
        <v>66</v>
      </c>
      <c r="AT9" s="3" t="s">
        <v>72</v>
      </c>
      <c r="AU9" s="3" t="s">
        <v>0</v>
      </c>
      <c r="AV9" s="3" t="s">
        <v>0</v>
      </c>
      <c r="AW9" s="3" t="s">
        <v>60</v>
      </c>
      <c r="AX9" s="3" t="s">
        <v>91</v>
      </c>
      <c r="CY9">
        <v>1</v>
      </c>
      <c r="CZ9" s="1">
        <f t="shared" ref="CZ9:CZ28" si="0">TRUNC((O9/CY9),2)</f>
        <v>11937.69</v>
      </c>
    </row>
    <row r="10" spans="1:104">
      <c r="A10" s="3">
        <v>5</v>
      </c>
      <c r="B10" s="3" t="s">
        <v>92</v>
      </c>
      <c r="C10" s="3" t="s">
        <v>56</v>
      </c>
      <c r="D10" s="3" t="s">
        <v>57</v>
      </c>
      <c r="E10" s="3">
        <v>1.5</v>
      </c>
      <c r="F10" s="3" t="s">
        <v>58</v>
      </c>
      <c r="G10" s="3" t="s">
        <v>0</v>
      </c>
      <c r="H10" s="3" t="s">
        <v>59</v>
      </c>
      <c r="I10" s="3" t="s">
        <v>0</v>
      </c>
      <c r="J10" s="3" t="s">
        <v>60</v>
      </c>
      <c r="K10" s="3" t="s">
        <v>60</v>
      </c>
      <c r="L10" s="3" t="s">
        <v>66</v>
      </c>
      <c r="M10" s="3">
        <v>7785.5</v>
      </c>
      <c r="N10" s="4">
        <v>-32.3</v>
      </c>
      <c r="O10" s="3">
        <v>11678.25</v>
      </c>
      <c r="P10" s="3">
        <v>11500</v>
      </c>
      <c r="Q10" s="5" t="s">
        <v>62</v>
      </c>
      <c r="R10" s="5" t="s">
        <v>63</v>
      </c>
      <c r="S10" s="3" t="s">
        <v>93</v>
      </c>
      <c r="T10" s="3">
        <v>3.95</v>
      </c>
      <c r="U10" s="3">
        <v>63.7</v>
      </c>
      <c r="V10" s="3">
        <v>57</v>
      </c>
      <c r="W10" s="3">
        <v>1.5</v>
      </c>
      <c r="X10" s="3" t="s">
        <v>82</v>
      </c>
      <c r="Y10" s="3" t="s">
        <v>66</v>
      </c>
      <c r="Z10" s="3" t="s">
        <v>66</v>
      </c>
      <c r="AA10" s="3" t="s">
        <v>67</v>
      </c>
      <c r="AB10" s="3" t="s">
        <v>68</v>
      </c>
      <c r="AC10" s="3" t="s">
        <v>69</v>
      </c>
      <c r="AD10" s="3" t="s">
        <v>68</v>
      </c>
      <c r="AE10" s="3" t="s">
        <v>68</v>
      </c>
      <c r="AF10" s="3" t="s">
        <v>68</v>
      </c>
      <c r="AG10" s="3" t="s">
        <v>68</v>
      </c>
      <c r="AH10" s="3" t="s">
        <v>0</v>
      </c>
      <c r="AI10" s="3" t="s">
        <v>0</v>
      </c>
      <c r="AJ10" s="3" t="s">
        <v>66</v>
      </c>
      <c r="AK10" s="3" t="s">
        <v>89</v>
      </c>
      <c r="AL10" s="3" t="s">
        <v>0</v>
      </c>
      <c r="AM10" s="3">
        <v>36</v>
      </c>
      <c r="AN10" s="3">
        <v>16.6</v>
      </c>
      <c r="AO10" s="3">
        <v>35.9</v>
      </c>
      <c r="AP10" s="3">
        <v>41.9</v>
      </c>
      <c r="AQ10" s="3" t="s">
        <v>0</v>
      </c>
      <c r="AR10" s="3" t="s">
        <v>90</v>
      </c>
      <c r="AS10" s="3" t="s">
        <v>66</v>
      </c>
      <c r="AT10" s="3" t="s">
        <v>68</v>
      </c>
      <c r="AU10" s="3" t="s">
        <v>0</v>
      </c>
      <c r="AV10" s="3" t="s">
        <v>0</v>
      </c>
      <c r="AW10" s="3" t="s">
        <v>60</v>
      </c>
      <c r="AX10" s="3" t="s">
        <v>73</v>
      </c>
      <c r="CY10">
        <v>1</v>
      </c>
      <c r="CZ10" s="1">
        <f t="shared" si="0"/>
        <v>11678.25</v>
      </c>
    </row>
    <row r="11" spans="1:104">
      <c r="A11" s="3">
        <v>6</v>
      </c>
      <c r="B11" s="3" t="s">
        <v>94</v>
      </c>
      <c r="C11" s="3" t="s">
        <v>56</v>
      </c>
      <c r="D11" s="3" t="s">
        <v>57</v>
      </c>
      <c r="E11" s="3">
        <v>1.5</v>
      </c>
      <c r="F11" s="3" t="s">
        <v>95</v>
      </c>
      <c r="G11" s="3" t="s">
        <v>0</v>
      </c>
      <c r="H11" s="3" t="s">
        <v>59</v>
      </c>
      <c r="I11" s="3" t="s">
        <v>0</v>
      </c>
      <c r="J11" s="3" t="s">
        <v>60</v>
      </c>
      <c r="K11" s="3" t="s">
        <v>75</v>
      </c>
      <c r="L11" s="3" t="s">
        <v>66</v>
      </c>
      <c r="M11" s="3">
        <v>6247.5</v>
      </c>
      <c r="N11" s="4">
        <v>-40.5</v>
      </c>
      <c r="O11" s="3">
        <v>9371.25</v>
      </c>
      <c r="P11" s="3">
        <v>10500</v>
      </c>
      <c r="Q11" s="5" t="s">
        <v>62</v>
      </c>
      <c r="R11" s="5" t="s">
        <v>63</v>
      </c>
      <c r="S11" s="3" t="s">
        <v>96</v>
      </c>
      <c r="T11" s="3">
        <v>4.11</v>
      </c>
      <c r="U11" s="3">
        <v>63.9</v>
      </c>
      <c r="V11" s="3">
        <v>59</v>
      </c>
      <c r="W11" s="3">
        <v>1.34</v>
      </c>
      <c r="X11" s="3" t="s">
        <v>82</v>
      </c>
      <c r="Y11" s="3" t="s">
        <v>66</v>
      </c>
      <c r="Z11" s="3" t="s">
        <v>66</v>
      </c>
      <c r="AA11" s="3" t="s">
        <v>67</v>
      </c>
      <c r="AB11" s="3" t="s">
        <v>68</v>
      </c>
      <c r="AC11" s="3" t="s">
        <v>69</v>
      </c>
      <c r="AD11" s="3" t="s">
        <v>68</v>
      </c>
      <c r="AE11" s="3" t="s">
        <v>68</v>
      </c>
      <c r="AF11" s="3" t="s">
        <v>68</v>
      </c>
      <c r="AG11" s="3" t="s">
        <v>68</v>
      </c>
      <c r="AH11" s="3" t="s">
        <v>0</v>
      </c>
      <c r="AI11" s="3" t="s">
        <v>0</v>
      </c>
      <c r="AJ11" s="3" t="s">
        <v>66</v>
      </c>
      <c r="AK11" s="3" t="s">
        <v>83</v>
      </c>
      <c r="AL11" s="3" t="s">
        <v>0</v>
      </c>
      <c r="AM11" s="3">
        <v>39.9</v>
      </c>
      <c r="AN11" s="3">
        <v>16.1</v>
      </c>
      <c r="AO11" s="3">
        <v>38.7</v>
      </c>
      <c r="AP11" s="3">
        <v>43.1</v>
      </c>
      <c r="AQ11" s="3" t="s">
        <v>0</v>
      </c>
      <c r="AR11" s="3" t="s">
        <v>71</v>
      </c>
      <c r="AS11" s="3" t="s">
        <v>66</v>
      </c>
      <c r="AT11" s="3" t="s">
        <v>72</v>
      </c>
      <c r="AU11" s="3" t="s">
        <v>0</v>
      </c>
      <c r="AV11" s="3" t="s">
        <v>0</v>
      </c>
      <c r="AW11" s="3" t="s">
        <v>60</v>
      </c>
      <c r="AX11" s="3" t="s">
        <v>73</v>
      </c>
      <c r="CY11">
        <v>1</v>
      </c>
      <c r="CZ11" s="1">
        <f t="shared" si="0"/>
        <v>9371.25</v>
      </c>
    </row>
    <row r="12" spans="1:104">
      <c r="A12" s="3">
        <v>7</v>
      </c>
      <c r="B12" s="3" t="s">
        <v>97</v>
      </c>
      <c r="C12" s="3" t="s">
        <v>56</v>
      </c>
      <c r="D12" s="3" t="s">
        <v>57</v>
      </c>
      <c r="E12" s="3">
        <v>1.5</v>
      </c>
      <c r="F12" s="3" t="s">
        <v>98</v>
      </c>
      <c r="G12" s="3" t="s">
        <v>0</v>
      </c>
      <c r="H12" s="3" t="s">
        <v>99</v>
      </c>
      <c r="I12" s="3" t="s">
        <v>0</v>
      </c>
      <c r="J12" s="3" t="s">
        <v>60</v>
      </c>
      <c r="K12" s="3" t="s">
        <v>60</v>
      </c>
      <c r="L12" s="3" t="s">
        <v>61</v>
      </c>
      <c r="M12" s="3">
        <v>6078.4</v>
      </c>
      <c r="N12" s="4">
        <v>-47.6</v>
      </c>
      <c r="O12" s="3">
        <v>9117.59</v>
      </c>
      <c r="P12" s="3">
        <v>11600</v>
      </c>
      <c r="Q12" s="5" t="s">
        <v>62</v>
      </c>
      <c r="R12" s="5" t="s">
        <v>63</v>
      </c>
      <c r="S12" s="3" t="s">
        <v>100</v>
      </c>
      <c r="T12" s="3">
        <v>3.57</v>
      </c>
      <c r="U12" s="3">
        <v>54.5</v>
      </c>
      <c r="V12" s="3">
        <v>64</v>
      </c>
      <c r="W12" s="3">
        <v>1.45</v>
      </c>
      <c r="X12" s="3" t="s">
        <v>82</v>
      </c>
      <c r="Y12" s="3" t="s">
        <v>66</v>
      </c>
      <c r="Z12" s="3" t="s">
        <v>101</v>
      </c>
      <c r="AA12" s="3" t="s">
        <v>67</v>
      </c>
      <c r="AB12" s="3" t="s">
        <v>68</v>
      </c>
      <c r="AC12" s="3" t="s">
        <v>68</v>
      </c>
      <c r="AD12" s="3" t="s">
        <v>68</v>
      </c>
      <c r="AE12" s="3" t="s">
        <v>68</v>
      </c>
      <c r="AF12" s="3" t="s">
        <v>68</v>
      </c>
      <c r="AG12" s="3" t="s">
        <v>68</v>
      </c>
      <c r="AH12" s="3" t="s">
        <v>0</v>
      </c>
      <c r="AI12" s="3" t="s">
        <v>0</v>
      </c>
      <c r="AJ12" s="3" t="s">
        <v>66</v>
      </c>
      <c r="AK12" s="3" t="s">
        <v>102</v>
      </c>
      <c r="AL12" s="3" t="s">
        <v>0</v>
      </c>
      <c r="AM12" s="3">
        <v>37.2</v>
      </c>
      <c r="AN12" s="3">
        <v>13.8</v>
      </c>
      <c r="AO12" s="3">
        <v>32.6</v>
      </c>
      <c r="AP12" s="3">
        <v>35.6</v>
      </c>
      <c r="AQ12" s="3" t="s">
        <v>0</v>
      </c>
      <c r="AR12" s="3" t="s">
        <v>84</v>
      </c>
      <c r="AS12" s="3" t="s">
        <v>66</v>
      </c>
      <c r="AT12" s="3" t="s">
        <v>68</v>
      </c>
      <c r="AU12" s="3" t="s">
        <v>103</v>
      </c>
      <c r="AV12" s="3" t="s">
        <v>0</v>
      </c>
      <c r="AW12" s="3" t="s">
        <v>60</v>
      </c>
      <c r="AX12" s="3" t="s">
        <v>73</v>
      </c>
      <c r="CY12">
        <v>1</v>
      </c>
      <c r="CZ12" s="1">
        <f t="shared" si="0"/>
        <v>9117.59</v>
      </c>
    </row>
    <row r="13" spans="1:104">
      <c r="A13" s="3">
        <v>8</v>
      </c>
      <c r="B13" s="3" t="s">
        <v>104</v>
      </c>
      <c r="C13" s="3" t="s">
        <v>56</v>
      </c>
      <c r="D13" s="3" t="s">
        <v>57</v>
      </c>
      <c r="E13" s="3">
        <v>1.52</v>
      </c>
      <c r="F13" s="3" t="s">
        <v>105</v>
      </c>
      <c r="G13" s="3" t="s">
        <v>0</v>
      </c>
      <c r="H13" s="3" t="s">
        <v>99</v>
      </c>
      <c r="I13" s="3" t="s">
        <v>0</v>
      </c>
      <c r="J13" s="3" t="s">
        <v>60</v>
      </c>
      <c r="K13" s="3" t="s">
        <v>60</v>
      </c>
      <c r="L13" s="3" t="s">
        <v>106</v>
      </c>
      <c r="M13" s="3">
        <v>5320</v>
      </c>
      <c r="N13" s="4">
        <v>-46.8</v>
      </c>
      <c r="O13" s="3">
        <v>8086.4</v>
      </c>
      <c r="P13" s="3">
        <v>10000</v>
      </c>
      <c r="Q13" s="5" t="s">
        <v>62</v>
      </c>
      <c r="R13" s="5" t="s">
        <v>63</v>
      </c>
      <c r="S13" s="3" t="s">
        <v>107</v>
      </c>
      <c r="T13" s="3">
        <v>3.99</v>
      </c>
      <c r="U13" s="3">
        <v>61.8</v>
      </c>
      <c r="V13" s="3">
        <v>59</v>
      </c>
      <c r="W13" s="3">
        <v>1.37</v>
      </c>
      <c r="X13" s="3" t="s">
        <v>88</v>
      </c>
      <c r="Y13" s="3" t="s">
        <v>66</v>
      </c>
      <c r="Z13" s="3" t="s">
        <v>108</v>
      </c>
      <c r="AA13" s="3" t="s">
        <v>67</v>
      </c>
      <c r="AB13" s="3" t="s">
        <v>68</v>
      </c>
      <c r="AC13" s="3" t="s">
        <v>69</v>
      </c>
      <c r="AD13" s="3" t="s">
        <v>68</v>
      </c>
      <c r="AE13" s="3" t="s">
        <v>68</v>
      </c>
      <c r="AF13" s="3" t="s">
        <v>68</v>
      </c>
      <c r="AG13" s="3" t="s">
        <v>68</v>
      </c>
      <c r="AH13" s="3" t="s">
        <v>0</v>
      </c>
      <c r="AI13" s="3" t="s">
        <v>0</v>
      </c>
      <c r="AJ13" s="3" t="s">
        <v>66</v>
      </c>
      <c r="AK13" s="3" t="s">
        <v>0</v>
      </c>
      <c r="AL13" s="3" t="s">
        <v>0</v>
      </c>
      <c r="AM13" s="3">
        <v>39.1</v>
      </c>
      <c r="AN13" s="3">
        <v>15.3</v>
      </c>
      <c r="AO13" s="3">
        <v>36.4</v>
      </c>
      <c r="AP13" s="3">
        <v>42.3</v>
      </c>
      <c r="AQ13" s="3" t="s">
        <v>0</v>
      </c>
      <c r="AR13" s="3" t="s">
        <v>71</v>
      </c>
      <c r="AS13" s="3" t="s">
        <v>66</v>
      </c>
      <c r="AT13" s="3" t="s">
        <v>72</v>
      </c>
      <c r="AU13" s="3" t="s">
        <v>109</v>
      </c>
      <c r="AV13" s="3" t="s">
        <v>110</v>
      </c>
      <c r="AW13" s="3" t="s">
        <v>60</v>
      </c>
      <c r="AX13" s="3" t="s">
        <v>73</v>
      </c>
      <c r="CY13">
        <v>1</v>
      </c>
      <c r="CZ13" s="1">
        <f t="shared" si="0"/>
        <v>8086.4</v>
      </c>
    </row>
    <row r="14" spans="1:104">
      <c r="A14" s="3">
        <v>9</v>
      </c>
      <c r="B14" s="3" t="s">
        <v>111</v>
      </c>
      <c r="C14" s="3" t="s">
        <v>56</v>
      </c>
      <c r="D14" s="3" t="s">
        <v>57</v>
      </c>
      <c r="E14" s="3">
        <v>1.5</v>
      </c>
      <c r="F14" s="3" t="s">
        <v>105</v>
      </c>
      <c r="G14" s="3" t="s">
        <v>112</v>
      </c>
      <c r="H14" s="3" t="s">
        <v>99</v>
      </c>
      <c r="I14" s="3" t="s">
        <v>0</v>
      </c>
      <c r="J14" s="3" t="s">
        <v>60</v>
      </c>
      <c r="K14" s="3" t="s">
        <v>60</v>
      </c>
      <c r="L14" s="3" t="s">
        <v>66</v>
      </c>
      <c r="M14" s="3">
        <v>5540</v>
      </c>
      <c r="N14" s="4">
        <v>-44.6</v>
      </c>
      <c r="O14" s="3">
        <v>8310</v>
      </c>
      <c r="P14" s="3">
        <v>10000</v>
      </c>
      <c r="Q14" s="5" t="s">
        <v>62</v>
      </c>
      <c r="R14" s="5" t="s">
        <v>63</v>
      </c>
      <c r="S14" s="3" t="s">
        <v>113</v>
      </c>
      <c r="T14" s="3">
        <v>4.13</v>
      </c>
      <c r="U14" s="3">
        <v>64.3</v>
      </c>
      <c r="V14" s="3">
        <v>61</v>
      </c>
      <c r="W14" s="3">
        <v>1.36</v>
      </c>
      <c r="X14" s="3" t="s">
        <v>114</v>
      </c>
      <c r="Y14" s="3" t="s">
        <v>66</v>
      </c>
      <c r="Z14" s="3" t="s">
        <v>115</v>
      </c>
      <c r="AA14" s="3" t="s">
        <v>67</v>
      </c>
      <c r="AB14" s="3" t="s">
        <v>68</v>
      </c>
      <c r="AC14" s="3" t="s">
        <v>116</v>
      </c>
      <c r="AD14" s="3" t="s">
        <v>68</v>
      </c>
      <c r="AE14" s="3" t="s">
        <v>68</v>
      </c>
      <c r="AF14" s="3" t="s">
        <v>68</v>
      </c>
      <c r="AG14" s="3" t="s">
        <v>68</v>
      </c>
      <c r="AH14" s="3" t="s">
        <v>0</v>
      </c>
      <c r="AI14" s="3" t="s">
        <v>0</v>
      </c>
      <c r="AJ14" s="3" t="s">
        <v>66</v>
      </c>
      <c r="AK14" s="3" t="s">
        <v>117</v>
      </c>
      <c r="AL14" s="3" t="s">
        <v>0</v>
      </c>
      <c r="AM14" s="3">
        <v>37.7</v>
      </c>
      <c r="AN14" s="3">
        <v>14.8</v>
      </c>
      <c r="AO14" s="3">
        <v>38.3</v>
      </c>
      <c r="AP14" s="3">
        <v>44.8</v>
      </c>
      <c r="AQ14" s="3" t="s">
        <v>0</v>
      </c>
      <c r="AR14" s="3" t="s">
        <v>84</v>
      </c>
      <c r="AS14" s="3" t="s">
        <v>66</v>
      </c>
      <c r="AT14" s="3" t="s">
        <v>68</v>
      </c>
      <c r="AU14" s="3" t="s">
        <v>118</v>
      </c>
      <c r="AV14" s="3" t="s">
        <v>0</v>
      </c>
      <c r="AW14" s="3" t="s">
        <v>60</v>
      </c>
      <c r="AX14" s="3" t="s">
        <v>73</v>
      </c>
      <c r="CY14">
        <v>1</v>
      </c>
      <c r="CZ14" s="1">
        <f t="shared" si="0"/>
        <v>8310</v>
      </c>
    </row>
    <row r="15" spans="1:104">
      <c r="A15" s="3">
        <v>10</v>
      </c>
      <c r="B15" s="3" t="s">
        <v>119</v>
      </c>
      <c r="C15" s="3" t="s">
        <v>56</v>
      </c>
      <c r="D15" s="3" t="s">
        <v>57</v>
      </c>
      <c r="E15" s="3">
        <v>1.56</v>
      </c>
      <c r="F15" s="3" t="s">
        <v>98</v>
      </c>
      <c r="G15" s="3" t="s">
        <v>0</v>
      </c>
      <c r="H15" s="3" t="s">
        <v>120</v>
      </c>
      <c r="I15" s="3" t="s">
        <v>0</v>
      </c>
      <c r="J15" s="3" t="s">
        <v>60</v>
      </c>
      <c r="K15" s="3" t="s">
        <v>60</v>
      </c>
      <c r="L15" s="3" t="s">
        <v>61</v>
      </c>
      <c r="M15" s="3">
        <v>5875.2</v>
      </c>
      <c r="N15" s="4">
        <v>-45.6</v>
      </c>
      <c r="O15" s="3">
        <v>9165.31</v>
      </c>
      <c r="P15" s="3">
        <v>10800</v>
      </c>
      <c r="Q15" s="5" t="s">
        <v>62</v>
      </c>
      <c r="R15" s="5" t="s">
        <v>63</v>
      </c>
      <c r="S15" s="3" t="s">
        <v>121</v>
      </c>
      <c r="T15" s="3">
        <v>4.02</v>
      </c>
      <c r="U15" s="3">
        <v>62.3</v>
      </c>
      <c r="V15" s="3">
        <v>59</v>
      </c>
      <c r="W15" s="3">
        <v>1.44</v>
      </c>
      <c r="X15" s="3" t="s">
        <v>88</v>
      </c>
      <c r="Y15" s="3" t="s">
        <v>122</v>
      </c>
      <c r="Z15" s="3" t="s">
        <v>66</v>
      </c>
      <c r="AA15" s="3" t="s">
        <v>123</v>
      </c>
      <c r="AB15" s="3" t="s">
        <v>68</v>
      </c>
      <c r="AC15" s="3" t="s">
        <v>116</v>
      </c>
      <c r="AD15" s="3" t="s">
        <v>68</v>
      </c>
      <c r="AE15" s="3" t="s">
        <v>68</v>
      </c>
      <c r="AF15" s="3" t="s">
        <v>68</v>
      </c>
      <c r="AG15" s="3" t="s">
        <v>68</v>
      </c>
      <c r="AH15" s="3" t="s">
        <v>0</v>
      </c>
      <c r="AI15" s="3" t="s">
        <v>0</v>
      </c>
      <c r="AJ15" s="3" t="s">
        <v>66</v>
      </c>
      <c r="AK15" s="3" t="s">
        <v>124</v>
      </c>
      <c r="AL15" s="3" t="s">
        <v>0</v>
      </c>
      <c r="AM15" s="3">
        <v>36.8</v>
      </c>
      <c r="AN15" s="3">
        <v>15.5</v>
      </c>
      <c r="AO15" s="3">
        <v>37</v>
      </c>
      <c r="AP15" s="3">
        <v>42.6</v>
      </c>
      <c r="AQ15" s="3" t="s">
        <v>0</v>
      </c>
      <c r="AR15" s="3" t="s">
        <v>79</v>
      </c>
      <c r="AS15" s="3" t="s">
        <v>66</v>
      </c>
      <c r="AT15" s="3" t="s">
        <v>68</v>
      </c>
      <c r="AU15" s="3" t="s">
        <v>125</v>
      </c>
      <c r="AV15" s="3" t="s">
        <v>0</v>
      </c>
      <c r="AW15" s="3" t="s">
        <v>60</v>
      </c>
      <c r="AX15" s="3" t="s">
        <v>91</v>
      </c>
      <c r="CY15">
        <v>1</v>
      </c>
      <c r="CZ15" s="1">
        <f t="shared" si="0"/>
        <v>9165.31</v>
      </c>
    </row>
    <row r="16" spans="1:104">
      <c r="A16" s="3">
        <v>11</v>
      </c>
      <c r="B16" s="3" t="s">
        <v>126</v>
      </c>
      <c r="C16" s="3" t="s">
        <v>56</v>
      </c>
      <c r="D16" s="3" t="s">
        <v>57</v>
      </c>
      <c r="E16" s="3">
        <v>1.5</v>
      </c>
      <c r="F16" s="3" t="s">
        <v>98</v>
      </c>
      <c r="G16" s="3" t="s">
        <v>0</v>
      </c>
      <c r="H16" s="3" t="s">
        <v>120</v>
      </c>
      <c r="I16" s="3" t="s">
        <v>0</v>
      </c>
      <c r="J16" s="3" t="s">
        <v>75</v>
      </c>
      <c r="K16" s="3" t="s">
        <v>127</v>
      </c>
      <c r="L16" s="3" t="s">
        <v>66</v>
      </c>
      <c r="M16" s="3">
        <v>6652.8</v>
      </c>
      <c r="N16" s="4">
        <v>-38.4</v>
      </c>
      <c r="O16" s="3">
        <v>9979.2</v>
      </c>
      <c r="P16" s="3">
        <v>10800</v>
      </c>
      <c r="Q16" s="5" t="s">
        <v>62</v>
      </c>
      <c r="R16" s="5" t="s">
        <v>63</v>
      </c>
      <c r="S16" s="3" t="s">
        <v>128</v>
      </c>
      <c r="T16" s="3">
        <v>3.91</v>
      </c>
      <c r="U16" s="3">
        <v>62.3</v>
      </c>
      <c r="V16" s="3">
        <v>56</v>
      </c>
      <c r="W16" s="3">
        <v>1.5</v>
      </c>
      <c r="X16" s="3" t="s">
        <v>82</v>
      </c>
      <c r="Y16" s="3" t="s">
        <v>66</v>
      </c>
      <c r="Z16" s="3" t="s">
        <v>108</v>
      </c>
      <c r="AA16" s="3" t="s">
        <v>67</v>
      </c>
      <c r="AB16" s="3" t="s">
        <v>68</v>
      </c>
      <c r="AC16" s="3" t="s">
        <v>116</v>
      </c>
      <c r="AD16" s="3" t="s">
        <v>68</v>
      </c>
      <c r="AE16" s="3" t="s">
        <v>68</v>
      </c>
      <c r="AF16" s="3" t="s">
        <v>68</v>
      </c>
      <c r="AG16" s="3" t="s">
        <v>68</v>
      </c>
      <c r="AH16" s="3" t="s">
        <v>0</v>
      </c>
      <c r="AI16" s="3" t="s">
        <v>0</v>
      </c>
      <c r="AJ16" s="3" t="s">
        <v>66</v>
      </c>
      <c r="AK16" s="3" t="s">
        <v>129</v>
      </c>
      <c r="AL16" s="3" t="s">
        <v>0</v>
      </c>
      <c r="AM16" s="3">
        <v>36.4</v>
      </c>
      <c r="AN16" s="3">
        <v>16.3</v>
      </c>
      <c r="AO16" s="3">
        <v>37.2</v>
      </c>
      <c r="AP16" s="3">
        <v>40.2</v>
      </c>
      <c r="AQ16" s="3" t="s">
        <v>0</v>
      </c>
      <c r="AR16" s="3" t="s">
        <v>79</v>
      </c>
      <c r="AS16" s="3" t="s">
        <v>66</v>
      </c>
      <c r="AT16" s="3" t="s">
        <v>68</v>
      </c>
      <c r="AU16" s="3" t="s">
        <v>130</v>
      </c>
      <c r="AV16" s="3" t="s">
        <v>0</v>
      </c>
      <c r="AW16" s="3" t="s">
        <v>75</v>
      </c>
      <c r="AX16" s="3" t="s">
        <v>73</v>
      </c>
      <c r="CY16">
        <v>1</v>
      </c>
      <c r="CZ16" s="1">
        <f t="shared" si="0"/>
        <v>9979.2</v>
      </c>
    </row>
    <row r="17" spans="1:104">
      <c r="A17" s="3">
        <v>12</v>
      </c>
      <c r="B17" s="3" t="s">
        <v>131</v>
      </c>
      <c r="C17" s="3" t="s">
        <v>56</v>
      </c>
      <c r="D17" s="3" t="s">
        <v>57</v>
      </c>
      <c r="E17" s="3">
        <v>1.51</v>
      </c>
      <c r="F17" s="3" t="s">
        <v>58</v>
      </c>
      <c r="G17" s="3" t="s">
        <v>0</v>
      </c>
      <c r="H17" s="3" t="s">
        <v>120</v>
      </c>
      <c r="I17" s="3" t="s">
        <v>0</v>
      </c>
      <c r="J17" s="3" t="s">
        <v>60</v>
      </c>
      <c r="K17" s="3" t="s">
        <v>60</v>
      </c>
      <c r="L17" s="3" t="s">
        <v>66</v>
      </c>
      <c r="M17" s="3">
        <v>5885.4</v>
      </c>
      <c r="N17" s="4">
        <v>-42.3</v>
      </c>
      <c r="O17" s="3">
        <v>8886.95</v>
      </c>
      <c r="P17" s="3">
        <v>10200</v>
      </c>
      <c r="Q17" s="5" t="s">
        <v>62</v>
      </c>
      <c r="R17" s="5" t="s">
        <v>63</v>
      </c>
      <c r="S17" s="3" t="s">
        <v>132</v>
      </c>
      <c r="T17" s="3">
        <v>3.76</v>
      </c>
      <c r="U17" s="3">
        <v>57.1</v>
      </c>
      <c r="V17" s="3">
        <v>57</v>
      </c>
      <c r="W17" s="3">
        <v>1.34</v>
      </c>
      <c r="X17" s="3" t="s">
        <v>114</v>
      </c>
      <c r="Y17" s="3" t="s">
        <v>133</v>
      </c>
      <c r="Z17" s="3" t="s">
        <v>108</v>
      </c>
      <c r="AA17" s="3" t="s">
        <v>123</v>
      </c>
      <c r="AB17" s="3" t="s">
        <v>68</v>
      </c>
      <c r="AC17" s="3" t="s">
        <v>116</v>
      </c>
      <c r="AD17" s="3" t="s">
        <v>68</v>
      </c>
      <c r="AE17" s="3" t="s">
        <v>68</v>
      </c>
      <c r="AF17" s="3" t="s">
        <v>68</v>
      </c>
      <c r="AG17" s="3" t="s">
        <v>68</v>
      </c>
      <c r="AH17" s="3" t="s">
        <v>0</v>
      </c>
      <c r="AI17" s="3" t="s">
        <v>0</v>
      </c>
      <c r="AJ17" s="3" t="s">
        <v>66</v>
      </c>
      <c r="AK17" s="3" t="s">
        <v>134</v>
      </c>
      <c r="AL17" s="3" t="s">
        <v>0</v>
      </c>
      <c r="AM17" s="3">
        <v>39.5</v>
      </c>
      <c r="AN17" s="3">
        <v>16.9</v>
      </c>
      <c r="AO17" s="3">
        <v>32.6</v>
      </c>
      <c r="AP17" s="3">
        <v>34.3</v>
      </c>
      <c r="AQ17" s="3" t="s">
        <v>0</v>
      </c>
      <c r="AR17" s="3" t="s">
        <v>71</v>
      </c>
      <c r="AS17" s="3" t="s">
        <v>66</v>
      </c>
      <c r="AT17" s="3" t="s">
        <v>68</v>
      </c>
      <c r="AU17" s="3" t="s">
        <v>125</v>
      </c>
      <c r="AV17" s="3" t="s">
        <v>0</v>
      </c>
      <c r="AW17" s="3" t="s">
        <v>60</v>
      </c>
      <c r="AX17" s="3" t="s">
        <v>73</v>
      </c>
      <c r="CY17">
        <v>1</v>
      </c>
      <c r="CZ17" s="1">
        <f t="shared" si="0"/>
        <v>8886.95</v>
      </c>
    </row>
    <row r="18" spans="1:104">
      <c r="A18" s="3">
        <v>13</v>
      </c>
      <c r="B18" s="3" t="s">
        <v>135</v>
      </c>
      <c r="C18" s="3" t="s">
        <v>56</v>
      </c>
      <c r="D18" s="3" t="s">
        <v>57</v>
      </c>
      <c r="E18" s="3">
        <v>1.5</v>
      </c>
      <c r="F18" s="3" t="s">
        <v>58</v>
      </c>
      <c r="G18" s="3" t="s">
        <v>0</v>
      </c>
      <c r="H18" s="3" t="s">
        <v>120</v>
      </c>
      <c r="I18" s="3" t="s">
        <v>0</v>
      </c>
      <c r="J18" s="3" t="s">
        <v>60</v>
      </c>
      <c r="K18" s="3" t="s">
        <v>60</v>
      </c>
      <c r="L18" s="3" t="s">
        <v>66</v>
      </c>
      <c r="M18" s="3">
        <v>6385.2</v>
      </c>
      <c r="N18" s="4">
        <v>-37.4</v>
      </c>
      <c r="O18" s="3">
        <v>9577.8</v>
      </c>
      <c r="P18" s="3">
        <v>10200</v>
      </c>
      <c r="Q18" s="5" t="s">
        <v>62</v>
      </c>
      <c r="R18" s="5" t="s">
        <v>63</v>
      </c>
      <c r="S18" s="3" t="s">
        <v>136</v>
      </c>
      <c r="T18" s="3">
        <v>4.07</v>
      </c>
      <c r="U18" s="3">
        <v>63.7</v>
      </c>
      <c r="V18" s="3">
        <v>61</v>
      </c>
      <c r="W18" s="3">
        <v>1.35</v>
      </c>
      <c r="X18" s="3" t="s">
        <v>114</v>
      </c>
      <c r="Y18" s="3" t="s">
        <v>122</v>
      </c>
      <c r="Z18" s="3" t="s">
        <v>101</v>
      </c>
      <c r="AA18" s="3" t="s">
        <v>123</v>
      </c>
      <c r="AB18" s="3" t="s">
        <v>68</v>
      </c>
      <c r="AC18" s="3" t="s">
        <v>116</v>
      </c>
      <c r="AD18" s="3" t="s">
        <v>68</v>
      </c>
      <c r="AE18" s="3" t="s">
        <v>68</v>
      </c>
      <c r="AF18" s="3" t="s">
        <v>68</v>
      </c>
      <c r="AG18" s="3" t="s">
        <v>68</v>
      </c>
      <c r="AH18" s="3" t="s">
        <v>0</v>
      </c>
      <c r="AI18" s="3" t="s">
        <v>0</v>
      </c>
      <c r="AJ18" s="3" t="s">
        <v>66</v>
      </c>
      <c r="AK18" s="3" t="s">
        <v>137</v>
      </c>
      <c r="AL18" s="3" t="s">
        <v>0</v>
      </c>
      <c r="AM18" s="3">
        <v>39.9</v>
      </c>
      <c r="AN18" s="3">
        <v>15.3</v>
      </c>
      <c r="AO18" s="3">
        <v>37.3</v>
      </c>
      <c r="AP18" s="3">
        <v>43</v>
      </c>
      <c r="AQ18" s="3" t="s">
        <v>0</v>
      </c>
      <c r="AR18" s="3" t="s">
        <v>71</v>
      </c>
      <c r="AS18" s="3" t="s">
        <v>66</v>
      </c>
      <c r="AT18" s="3" t="s">
        <v>68</v>
      </c>
      <c r="AU18" s="3" t="s">
        <v>125</v>
      </c>
      <c r="AV18" s="3" t="s">
        <v>0</v>
      </c>
      <c r="AW18" s="3" t="s">
        <v>60</v>
      </c>
      <c r="AX18" s="3" t="s">
        <v>73</v>
      </c>
      <c r="CY18">
        <v>1</v>
      </c>
      <c r="CZ18" s="1">
        <f t="shared" si="0"/>
        <v>9577.8</v>
      </c>
    </row>
    <row r="19" spans="1:104">
      <c r="A19" s="3">
        <v>14</v>
      </c>
      <c r="B19" s="3" t="s">
        <v>138</v>
      </c>
      <c r="C19" s="3" t="s">
        <v>56</v>
      </c>
      <c r="D19" s="3" t="s">
        <v>57</v>
      </c>
      <c r="E19" s="3">
        <v>1.51</v>
      </c>
      <c r="F19" s="3" t="s">
        <v>139</v>
      </c>
      <c r="G19" s="3" t="s">
        <v>0</v>
      </c>
      <c r="H19" s="3" t="s">
        <v>120</v>
      </c>
      <c r="I19" s="3" t="s">
        <v>0</v>
      </c>
      <c r="J19" s="3" t="s">
        <v>60</v>
      </c>
      <c r="K19" s="3" t="s">
        <v>60</v>
      </c>
      <c r="L19" s="3" t="s">
        <v>66</v>
      </c>
      <c r="M19" s="3">
        <v>6752.4</v>
      </c>
      <c r="N19" s="4">
        <v>-33.8</v>
      </c>
      <c r="O19" s="3">
        <v>10196.12</v>
      </c>
      <c r="P19" s="3">
        <v>10200</v>
      </c>
      <c r="Q19" s="5" t="s">
        <v>62</v>
      </c>
      <c r="R19" s="5" t="s">
        <v>63</v>
      </c>
      <c r="S19" s="3" t="s">
        <v>140</v>
      </c>
      <c r="T19" s="3">
        <v>3.94</v>
      </c>
      <c r="U19" s="3">
        <v>62.4</v>
      </c>
      <c r="V19" s="3">
        <v>59</v>
      </c>
      <c r="W19" s="3">
        <v>1.46</v>
      </c>
      <c r="X19" s="3" t="s">
        <v>141</v>
      </c>
      <c r="Y19" s="3" t="s">
        <v>122</v>
      </c>
      <c r="Z19" s="3" t="s">
        <v>108</v>
      </c>
      <c r="AA19" s="3" t="s">
        <v>123</v>
      </c>
      <c r="AB19" s="3" t="s">
        <v>68</v>
      </c>
      <c r="AC19" s="3" t="s">
        <v>116</v>
      </c>
      <c r="AD19" s="3" t="s">
        <v>68</v>
      </c>
      <c r="AE19" s="3" t="s">
        <v>68</v>
      </c>
      <c r="AF19" s="3" t="s">
        <v>68</v>
      </c>
      <c r="AG19" s="3" t="s">
        <v>68</v>
      </c>
      <c r="AH19" s="3" t="s">
        <v>0</v>
      </c>
      <c r="AI19" s="3" t="s">
        <v>0</v>
      </c>
      <c r="AJ19" s="3" t="s">
        <v>66</v>
      </c>
      <c r="AK19" s="3" t="s">
        <v>142</v>
      </c>
      <c r="AL19" s="3" t="s">
        <v>0</v>
      </c>
      <c r="AM19" s="3">
        <v>38.2</v>
      </c>
      <c r="AN19" s="3">
        <v>15.5</v>
      </c>
      <c r="AO19" s="3">
        <v>35.9</v>
      </c>
      <c r="AP19" s="3">
        <v>43.9</v>
      </c>
      <c r="AQ19" s="3" t="s">
        <v>0</v>
      </c>
      <c r="AR19" s="3" t="s">
        <v>79</v>
      </c>
      <c r="AS19" s="3" t="s">
        <v>66</v>
      </c>
      <c r="AT19" s="3" t="s">
        <v>68</v>
      </c>
      <c r="AU19" s="3" t="s">
        <v>125</v>
      </c>
      <c r="AV19" s="3" t="s">
        <v>0</v>
      </c>
      <c r="AW19" s="3" t="s">
        <v>60</v>
      </c>
      <c r="AX19" s="3" t="s">
        <v>73</v>
      </c>
      <c r="CY19">
        <v>1</v>
      </c>
      <c r="CZ19" s="1">
        <f t="shared" si="0"/>
        <v>10196.12</v>
      </c>
    </row>
    <row r="20" spans="1:104">
      <c r="A20" s="3">
        <v>15</v>
      </c>
      <c r="B20" s="3" t="s">
        <v>143</v>
      </c>
      <c r="C20" s="3" t="s">
        <v>56</v>
      </c>
      <c r="D20" s="3" t="s">
        <v>57</v>
      </c>
      <c r="E20" s="3">
        <v>1.51</v>
      </c>
      <c r="F20" s="3" t="s">
        <v>58</v>
      </c>
      <c r="G20" s="3" t="s">
        <v>0</v>
      </c>
      <c r="H20" s="3" t="s">
        <v>120</v>
      </c>
      <c r="I20" s="3" t="s">
        <v>0</v>
      </c>
      <c r="J20" s="3" t="s">
        <v>60</v>
      </c>
      <c r="K20" s="3" t="s">
        <v>60</v>
      </c>
      <c r="L20" s="3" t="s">
        <v>66</v>
      </c>
      <c r="M20" s="3">
        <v>7017.6</v>
      </c>
      <c r="N20" s="4">
        <v>-31.2</v>
      </c>
      <c r="O20" s="3">
        <v>10596.57</v>
      </c>
      <c r="P20" s="3">
        <v>10200</v>
      </c>
      <c r="Q20" s="5" t="s">
        <v>62</v>
      </c>
      <c r="R20" s="5" t="s">
        <v>63</v>
      </c>
      <c r="S20" s="3" t="s">
        <v>144</v>
      </c>
      <c r="T20" s="3">
        <v>3.95</v>
      </c>
      <c r="U20" s="3">
        <v>61.5</v>
      </c>
      <c r="V20" s="3">
        <v>60</v>
      </c>
      <c r="W20" s="3">
        <v>1.43</v>
      </c>
      <c r="X20" s="3" t="s">
        <v>88</v>
      </c>
      <c r="Y20" s="3" t="s">
        <v>66</v>
      </c>
      <c r="Z20" s="3" t="s">
        <v>101</v>
      </c>
      <c r="AA20" s="3" t="s">
        <v>67</v>
      </c>
      <c r="AB20" s="3" t="s">
        <v>68</v>
      </c>
      <c r="AC20" s="3" t="s">
        <v>69</v>
      </c>
      <c r="AD20" s="3" t="s">
        <v>68</v>
      </c>
      <c r="AE20" s="3" t="s">
        <v>68</v>
      </c>
      <c r="AF20" s="3" t="s">
        <v>68</v>
      </c>
      <c r="AG20" s="3" t="s">
        <v>68</v>
      </c>
      <c r="AH20" s="3" t="s">
        <v>0</v>
      </c>
      <c r="AI20" s="3" t="s">
        <v>0</v>
      </c>
      <c r="AJ20" s="3" t="s">
        <v>66</v>
      </c>
      <c r="AK20" s="3" t="s">
        <v>89</v>
      </c>
      <c r="AL20" s="3" t="s">
        <v>0</v>
      </c>
      <c r="AM20" s="3">
        <v>37.4</v>
      </c>
      <c r="AN20" s="3">
        <v>15.1</v>
      </c>
      <c r="AO20" s="3">
        <v>36.4</v>
      </c>
      <c r="AP20" s="3">
        <v>42.2</v>
      </c>
      <c r="AQ20" s="3" t="s">
        <v>0</v>
      </c>
      <c r="AR20" s="3" t="s">
        <v>145</v>
      </c>
      <c r="AS20" s="3" t="s">
        <v>66</v>
      </c>
      <c r="AT20" s="3" t="s">
        <v>68</v>
      </c>
      <c r="AU20" s="3" t="s">
        <v>0</v>
      </c>
      <c r="AV20" s="3" t="s">
        <v>0</v>
      </c>
      <c r="AW20" s="3" t="s">
        <v>60</v>
      </c>
      <c r="AX20" s="3" t="s">
        <v>73</v>
      </c>
      <c r="CY20">
        <v>1</v>
      </c>
      <c r="CZ20" s="1">
        <f t="shared" si="0"/>
        <v>10596.57</v>
      </c>
    </row>
    <row r="21" spans="1:104">
      <c r="A21" s="3">
        <v>16</v>
      </c>
      <c r="B21" s="3" t="s">
        <v>146</v>
      </c>
      <c r="C21" s="3" t="s">
        <v>147</v>
      </c>
      <c r="D21" s="3" t="s">
        <v>57</v>
      </c>
      <c r="E21" s="3">
        <v>1.5</v>
      </c>
      <c r="F21" s="3" t="s">
        <v>105</v>
      </c>
      <c r="G21" s="3" t="s">
        <v>0</v>
      </c>
      <c r="H21" s="3" t="s">
        <v>120</v>
      </c>
      <c r="I21" s="3" t="s">
        <v>0</v>
      </c>
      <c r="J21" s="3" t="s">
        <v>60</v>
      </c>
      <c r="K21" s="3" t="s">
        <v>60</v>
      </c>
      <c r="L21" s="3" t="s">
        <v>61</v>
      </c>
      <c r="M21" s="3">
        <v>5077.8</v>
      </c>
      <c r="N21" s="4">
        <v>-45.4</v>
      </c>
      <c r="O21" s="3">
        <v>7616.7</v>
      </c>
      <c r="P21" s="3">
        <v>9300</v>
      </c>
      <c r="Q21" s="5" t="s">
        <v>62</v>
      </c>
      <c r="R21" s="5" t="s">
        <v>63</v>
      </c>
      <c r="S21" s="3" t="s">
        <v>148</v>
      </c>
      <c r="T21" s="3">
        <v>3.54</v>
      </c>
      <c r="U21" s="3">
        <v>53</v>
      </c>
      <c r="V21" s="3">
        <v>61</v>
      </c>
      <c r="W21" s="3">
        <v>1.33</v>
      </c>
      <c r="X21" s="3" t="s">
        <v>65</v>
      </c>
      <c r="Y21" s="3" t="s">
        <v>122</v>
      </c>
      <c r="Z21" s="3" t="s">
        <v>101</v>
      </c>
      <c r="AA21" s="3" t="s">
        <v>123</v>
      </c>
      <c r="AB21" s="3" t="s">
        <v>68</v>
      </c>
      <c r="AC21" s="3" t="s">
        <v>116</v>
      </c>
      <c r="AD21" s="3" t="s">
        <v>68</v>
      </c>
      <c r="AE21" s="3" t="s">
        <v>68</v>
      </c>
      <c r="AF21" s="3" t="s">
        <v>68</v>
      </c>
      <c r="AG21" s="3" t="s">
        <v>68</v>
      </c>
      <c r="AH21" s="3" t="s">
        <v>0</v>
      </c>
      <c r="AI21" s="3" t="s">
        <v>0</v>
      </c>
      <c r="AJ21" s="3" t="s">
        <v>66</v>
      </c>
      <c r="AK21" s="3" t="s">
        <v>149</v>
      </c>
      <c r="AL21" s="3" t="s">
        <v>0</v>
      </c>
      <c r="AM21" s="3">
        <v>37.3</v>
      </c>
      <c r="AN21" s="3">
        <v>14.5</v>
      </c>
      <c r="AO21" s="3">
        <v>31.2</v>
      </c>
      <c r="AP21" s="3">
        <v>32.9</v>
      </c>
      <c r="AQ21" s="3" t="s">
        <v>0</v>
      </c>
      <c r="AR21" s="3" t="s">
        <v>71</v>
      </c>
      <c r="AS21" s="3" t="s">
        <v>66</v>
      </c>
      <c r="AT21" s="3" t="s">
        <v>72</v>
      </c>
      <c r="AU21" s="3" t="s">
        <v>0</v>
      </c>
      <c r="AV21" s="3" t="s">
        <v>0</v>
      </c>
      <c r="AW21" s="3" t="s">
        <v>60</v>
      </c>
      <c r="AX21" s="3" t="s">
        <v>91</v>
      </c>
      <c r="CY21">
        <v>1</v>
      </c>
      <c r="CZ21" s="1">
        <f t="shared" si="0"/>
        <v>7616.7</v>
      </c>
    </row>
    <row r="22" spans="1:104">
      <c r="A22" s="3">
        <v>17</v>
      </c>
      <c r="B22" s="3" t="s">
        <v>150</v>
      </c>
      <c r="C22" s="3" t="s">
        <v>56</v>
      </c>
      <c r="D22" s="3" t="s">
        <v>57</v>
      </c>
      <c r="E22" s="3">
        <v>1.5</v>
      </c>
      <c r="F22" s="3" t="s">
        <v>98</v>
      </c>
      <c r="G22" s="3" t="s">
        <v>0</v>
      </c>
      <c r="H22" s="3" t="s">
        <v>151</v>
      </c>
      <c r="I22" s="3" t="s">
        <v>0</v>
      </c>
      <c r="J22" s="3" t="s">
        <v>60</v>
      </c>
      <c r="K22" s="3" t="s">
        <v>60</v>
      </c>
      <c r="L22" s="3" t="s">
        <v>66</v>
      </c>
      <c r="M22" s="3">
        <v>5914.8</v>
      </c>
      <c r="N22" s="4">
        <v>-36.4</v>
      </c>
      <c r="O22" s="3">
        <v>8872.2</v>
      </c>
      <c r="P22" s="3">
        <v>9300</v>
      </c>
      <c r="Q22" s="5" t="s">
        <v>62</v>
      </c>
      <c r="R22" s="5" t="s">
        <v>63</v>
      </c>
      <c r="S22" s="3" t="s">
        <v>152</v>
      </c>
      <c r="T22" s="3">
        <v>3.97</v>
      </c>
      <c r="U22" s="3">
        <v>62.5</v>
      </c>
      <c r="V22" s="3">
        <v>58</v>
      </c>
      <c r="W22" s="3">
        <v>1.42</v>
      </c>
      <c r="X22" s="3" t="s">
        <v>153</v>
      </c>
      <c r="Y22" s="3" t="s">
        <v>133</v>
      </c>
      <c r="Z22" s="3" t="s">
        <v>108</v>
      </c>
      <c r="AA22" s="3" t="s">
        <v>123</v>
      </c>
      <c r="AB22" s="3" t="s">
        <v>154</v>
      </c>
      <c r="AC22" s="3" t="s">
        <v>116</v>
      </c>
      <c r="AD22" s="3" t="s">
        <v>68</v>
      </c>
      <c r="AE22" s="3" t="s">
        <v>68</v>
      </c>
      <c r="AF22" s="3" t="s">
        <v>68</v>
      </c>
      <c r="AG22" s="3" t="s">
        <v>68</v>
      </c>
      <c r="AH22" s="3" t="s">
        <v>0</v>
      </c>
      <c r="AI22" s="3" t="s">
        <v>0</v>
      </c>
      <c r="AJ22" s="3" t="s">
        <v>66</v>
      </c>
      <c r="AK22" s="3" t="s">
        <v>134</v>
      </c>
      <c r="AL22" s="3" t="s">
        <v>0</v>
      </c>
      <c r="AM22" s="3">
        <v>37.5</v>
      </c>
      <c r="AN22" s="3">
        <v>15.9</v>
      </c>
      <c r="AO22" s="3">
        <v>36.3</v>
      </c>
      <c r="AP22" s="3">
        <v>42.2</v>
      </c>
      <c r="AQ22" s="3" t="s">
        <v>0</v>
      </c>
      <c r="AR22" s="3" t="s">
        <v>79</v>
      </c>
      <c r="AS22" s="3" t="s">
        <v>66</v>
      </c>
      <c r="AT22" s="3" t="s">
        <v>68</v>
      </c>
      <c r="AU22" s="3" t="s">
        <v>155</v>
      </c>
      <c r="AV22" s="3" t="s">
        <v>0</v>
      </c>
      <c r="AW22" s="3" t="s">
        <v>60</v>
      </c>
      <c r="AX22" s="3" t="s">
        <v>73</v>
      </c>
      <c r="CY22">
        <v>1</v>
      </c>
      <c r="CZ22" s="1">
        <f t="shared" si="0"/>
        <v>8872.2</v>
      </c>
    </row>
    <row r="23" spans="1:104">
      <c r="A23" s="3">
        <v>18</v>
      </c>
      <c r="B23" s="3" t="s">
        <v>156</v>
      </c>
      <c r="C23" s="3" t="s">
        <v>56</v>
      </c>
      <c r="D23" s="3" t="s">
        <v>57</v>
      </c>
      <c r="E23" s="3">
        <v>1.5</v>
      </c>
      <c r="F23" s="3" t="s">
        <v>58</v>
      </c>
      <c r="G23" s="3" t="s">
        <v>0</v>
      </c>
      <c r="H23" s="3" t="s">
        <v>151</v>
      </c>
      <c r="I23" s="3" t="s">
        <v>0</v>
      </c>
      <c r="J23" s="3" t="s">
        <v>60</v>
      </c>
      <c r="K23" s="3" t="s">
        <v>60</v>
      </c>
      <c r="L23" s="3" t="s">
        <v>66</v>
      </c>
      <c r="M23" s="3">
        <v>5192</v>
      </c>
      <c r="N23" s="4">
        <v>-41</v>
      </c>
      <c r="O23" s="3">
        <v>7788</v>
      </c>
      <c r="P23" s="3">
        <v>8800</v>
      </c>
      <c r="Q23" s="5" t="s">
        <v>62</v>
      </c>
      <c r="R23" s="5" t="s">
        <v>63</v>
      </c>
      <c r="S23" s="3" t="s">
        <v>157</v>
      </c>
      <c r="T23" s="3">
        <v>4.03</v>
      </c>
      <c r="U23" s="3">
        <v>63.2</v>
      </c>
      <c r="V23" s="3">
        <v>58</v>
      </c>
      <c r="W23" s="3">
        <v>1.38</v>
      </c>
      <c r="X23" s="3" t="s">
        <v>82</v>
      </c>
      <c r="Y23" s="3" t="s">
        <v>158</v>
      </c>
      <c r="Z23" s="3" t="s">
        <v>101</v>
      </c>
      <c r="AA23" s="3" t="s">
        <v>159</v>
      </c>
      <c r="AB23" s="3" t="s">
        <v>154</v>
      </c>
      <c r="AC23" s="3" t="s">
        <v>116</v>
      </c>
      <c r="AD23" s="3" t="s">
        <v>68</v>
      </c>
      <c r="AE23" s="3" t="s">
        <v>68</v>
      </c>
      <c r="AF23" s="3" t="s">
        <v>68</v>
      </c>
      <c r="AG23" s="3" t="s">
        <v>68</v>
      </c>
      <c r="AH23" s="3" t="s">
        <v>0</v>
      </c>
      <c r="AI23" s="3" t="s">
        <v>0</v>
      </c>
      <c r="AJ23" s="3" t="s">
        <v>66</v>
      </c>
      <c r="AK23" s="3" t="s">
        <v>160</v>
      </c>
      <c r="AL23" s="3" t="s">
        <v>0</v>
      </c>
      <c r="AM23" s="3">
        <v>38.8</v>
      </c>
      <c r="AN23" s="3">
        <v>16.1</v>
      </c>
      <c r="AO23" s="3">
        <v>37</v>
      </c>
      <c r="AP23" s="3">
        <v>42.6</v>
      </c>
      <c r="AQ23" s="3" t="s">
        <v>0</v>
      </c>
      <c r="AR23" s="3" t="s">
        <v>71</v>
      </c>
      <c r="AS23" s="3" t="s">
        <v>66</v>
      </c>
      <c r="AT23" s="3" t="s">
        <v>72</v>
      </c>
      <c r="AU23" s="3" t="s">
        <v>125</v>
      </c>
      <c r="AV23" s="3" t="s">
        <v>0</v>
      </c>
      <c r="AW23" s="3" t="s">
        <v>60</v>
      </c>
      <c r="AX23" s="3" t="s">
        <v>91</v>
      </c>
      <c r="CY23">
        <v>1</v>
      </c>
      <c r="CZ23" s="1">
        <f t="shared" si="0"/>
        <v>7788</v>
      </c>
    </row>
    <row r="24" spans="1:104">
      <c r="A24" s="3">
        <v>19</v>
      </c>
      <c r="B24" s="3" t="s">
        <v>161</v>
      </c>
      <c r="C24" s="3" t="s">
        <v>56</v>
      </c>
      <c r="D24" s="3" t="s">
        <v>57</v>
      </c>
      <c r="E24" s="3">
        <v>1.5</v>
      </c>
      <c r="F24" s="3" t="s">
        <v>58</v>
      </c>
      <c r="G24" s="3" t="s">
        <v>0</v>
      </c>
      <c r="H24" s="3" t="s">
        <v>151</v>
      </c>
      <c r="I24" s="3" t="s">
        <v>0</v>
      </c>
      <c r="J24" s="3" t="s">
        <v>60</v>
      </c>
      <c r="K24" s="3" t="s">
        <v>75</v>
      </c>
      <c r="L24" s="3" t="s">
        <v>66</v>
      </c>
      <c r="M24" s="3">
        <v>5957.6</v>
      </c>
      <c r="N24" s="4">
        <v>-32.3</v>
      </c>
      <c r="O24" s="3">
        <v>8936.4</v>
      </c>
      <c r="P24" s="3">
        <v>8800</v>
      </c>
      <c r="Q24" s="5" t="s">
        <v>62</v>
      </c>
      <c r="R24" s="5" t="s">
        <v>63</v>
      </c>
      <c r="S24" s="3" t="s">
        <v>162</v>
      </c>
      <c r="T24" s="3">
        <v>3.77</v>
      </c>
      <c r="U24" s="3">
        <v>57.2</v>
      </c>
      <c r="V24" s="3">
        <v>58</v>
      </c>
      <c r="W24" s="3">
        <v>1.38</v>
      </c>
      <c r="X24" s="3" t="s">
        <v>153</v>
      </c>
      <c r="Y24" s="3" t="s">
        <v>66</v>
      </c>
      <c r="Z24" s="3" t="s">
        <v>163</v>
      </c>
      <c r="AA24" s="3" t="s">
        <v>67</v>
      </c>
      <c r="AB24" s="3" t="s">
        <v>154</v>
      </c>
      <c r="AC24" s="3" t="s">
        <v>164</v>
      </c>
      <c r="AD24" s="3" t="s">
        <v>68</v>
      </c>
      <c r="AE24" s="3" t="s">
        <v>68</v>
      </c>
      <c r="AF24" s="3" t="s">
        <v>68</v>
      </c>
      <c r="AG24" s="3" t="s">
        <v>68</v>
      </c>
      <c r="AH24" s="3" t="s">
        <v>0</v>
      </c>
      <c r="AI24" s="3" t="s">
        <v>0</v>
      </c>
      <c r="AJ24" s="3" t="s">
        <v>66</v>
      </c>
      <c r="AK24" s="3" t="s">
        <v>137</v>
      </c>
      <c r="AL24" s="3" t="s">
        <v>0</v>
      </c>
      <c r="AM24" s="3">
        <v>36.4</v>
      </c>
      <c r="AN24" s="3">
        <v>16</v>
      </c>
      <c r="AO24" s="3">
        <v>33.1</v>
      </c>
      <c r="AP24" s="3">
        <v>37.2</v>
      </c>
      <c r="AQ24" s="3" t="s">
        <v>0</v>
      </c>
      <c r="AR24" s="3" t="s">
        <v>71</v>
      </c>
      <c r="AS24" s="3" t="s">
        <v>66</v>
      </c>
      <c r="AT24" s="3" t="s">
        <v>68</v>
      </c>
      <c r="AU24" s="3" t="s">
        <v>165</v>
      </c>
      <c r="AV24" s="3" t="s">
        <v>0</v>
      </c>
      <c r="AW24" s="3" t="s">
        <v>60</v>
      </c>
      <c r="AX24" s="3" t="s">
        <v>73</v>
      </c>
      <c r="CY24">
        <v>1</v>
      </c>
      <c r="CZ24" s="1">
        <f t="shared" si="0"/>
        <v>8936.4</v>
      </c>
    </row>
    <row r="25" spans="1:104">
      <c r="A25" s="3">
        <v>20</v>
      </c>
      <c r="B25" s="3" t="s">
        <v>166</v>
      </c>
      <c r="C25" s="3" t="s">
        <v>56</v>
      </c>
      <c r="D25" s="3" t="s">
        <v>57</v>
      </c>
      <c r="E25" s="3">
        <v>1.57</v>
      </c>
      <c r="F25" s="3" t="s">
        <v>139</v>
      </c>
      <c r="G25" s="3" t="s">
        <v>0</v>
      </c>
      <c r="H25" s="3" t="s">
        <v>151</v>
      </c>
      <c r="I25" s="3" t="s">
        <v>0</v>
      </c>
      <c r="J25" s="3" t="s">
        <v>60</v>
      </c>
      <c r="K25" s="3" t="s">
        <v>75</v>
      </c>
      <c r="L25" s="3" t="s">
        <v>66</v>
      </c>
      <c r="M25" s="3">
        <v>6142.4</v>
      </c>
      <c r="N25" s="4">
        <v>-30.2</v>
      </c>
      <c r="O25" s="3">
        <v>9643.56</v>
      </c>
      <c r="P25" s="3">
        <v>8800</v>
      </c>
      <c r="Q25" s="5" t="s">
        <v>62</v>
      </c>
      <c r="R25" s="5" t="s">
        <v>63</v>
      </c>
      <c r="S25" s="3" t="s">
        <v>167</v>
      </c>
      <c r="T25" s="3">
        <v>3.94</v>
      </c>
      <c r="U25" s="3">
        <v>62.3</v>
      </c>
      <c r="V25" s="3">
        <v>62</v>
      </c>
      <c r="W25" s="3">
        <v>1.5</v>
      </c>
      <c r="X25" s="3" t="s">
        <v>77</v>
      </c>
      <c r="Y25" s="3" t="s">
        <v>66</v>
      </c>
      <c r="Z25" s="3" t="s">
        <v>108</v>
      </c>
      <c r="AA25" s="3" t="s">
        <v>67</v>
      </c>
      <c r="AB25" s="3" t="s">
        <v>154</v>
      </c>
      <c r="AC25" s="3" t="s">
        <v>116</v>
      </c>
      <c r="AD25" s="3" t="s">
        <v>68</v>
      </c>
      <c r="AE25" s="3" t="s">
        <v>68</v>
      </c>
      <c r="AF25" s="3" t="s">
        <v>68</v>
      </c>
      <c r="AG25" s="3" t="s">
        <v>68</v>
      </c>
      <c r="AH25" s="3" t="s">
        <v>0</v>
      </c>
      <c r="AI25" s="3" t="s">
        <v>0</v>
      </c>
      <c r="AJ25" s="3" t="s">
        <v>66</v>
      </c>
      <c r="AK25" s="3" t="s">
        <v>129</v>
      </c>
      <c r="AL25" s="3" t="s">
        <v>0</v>
      </c>
      <c r="AM25" s="3">
        <v>38</v>
      </c>
      <c r="AN25" s="3">
        <v>13.6</v>
      </c>
      <c r="AO25" s="3">
        <v>39.5</v>
      </c>
      <c r="AP25" s="3">
        <v>45.5</v>
      </c>
      <c r="AQ25" s="3" t="s">
        <v>0</v>
      </c>
      <c r="AR25" s="3" t="s">
        <v>90</v>
      </c>
      <c r="AS25" s="3" t="s">
        <v>66</v>
      </c>
      <c r="AT25" s="3" t="s">
        <v>72</v>
      </c>
      <c r="AU25" s="3" t="s">
        <v>130</v>
      </c>
      <c r="AV25" s="3" t="s">
        <v>0</v>
      </c>
      <c r="AW25" s="3" t="s">
        <v>60</v>
      </c>
      <c r="AX25" s="3" t="s">
        <v>73</v>
      </c>
      <c r="CY25">
        <v>1</v>
      </c>
      <c r="CZ25" s="1">
        <f t="shared" si="0"/>
        <v>9643.56</v>
      </c>
    </row>
    <row r="26" spans="1:104">
      <c r="A26" s="3">
        <v>21</v>
      </c>
      <c r="B26" s="3" t="s">
        <v>168</v>
      </c>
      <c r="C26" s="3" t="s">
        <v>56</v>
      </c>
      <c r="D26" s="3" t="s">
        <v>57</v>
      </c>
      <c r="E26" s="3">
        <v>1.5</v>
      </c>
      <c r="F26" s="3" t="s">
        <v>95</v>
      </c>
      <c r="G26" s="3" t="s">
        <v>0</v>
      </c>
      <c r="H26" s="3" t="s">
        <v>151</v>
      </c>
      <c r="I26" s="3" t="s">
        <v>0</v>
      </c>
      <c r="J26" s="3" t="s">
        <v>60</v>
      </c>
      <c r="K26" s="3" t="s">
        <v>60</v>
      </c>
      <c r="L26" s="3" t="s">
        <v>66</v>
      </c>
      <c r="M26" s="3">
        <v>4715</v>
      </c>
      <c r="N26" s="4">
        <v>-42.5</v>
      </c>
      <c r="O26" s="3">
        <v>7072.5</v>
      </c>
      <c r="P26" s="3">
        <v>8200</v>
      </c>
      <c r="Q26" s="5" t="s">
        <v>62</v>
      </c>
      <c r="R26" s="5" t="s">
        <v>63</v>
      </c>
      <c r="S26" s="3" t="s">
        <v>169</v>
      </c>
      <c r="T26" s="3">
        <v>4.08</v>
      </c>
      <c r="U26" s="3">
        <v>63.4</v>
      </c>
      <c r="V26" s="3">
        <v>60</v>
      </c>
      <c r="W26" s="3">
        <v>1.34</v>
      </c>
      <c r="X26" s="3" t="s">
        <v>153</v>
      </c>
      <c r="Y26" s="3" t="s">
        <v>122</v>
      </c>
      <c r="Z26" s="3" t="s">
        <v>108</v>
      </c>
      <c r="AA26" s="3" t="s">
        <v>123</v>
      </c>
      <c r="AB26" s="3" t="s">
        <v>154</v>
      </c>
      <c r="AC26" s="3" t="s">
        <v>116</v>
      </c>
      <c r="AD26" s="3" t="s">
        <v>68</v>
      </c>
      <c r="AE26" s="3" t="s">
        <v>68</v>
      </c>
      <c r="AF26" s="3" t="s">
        <v>68</v>
      </c>
      <c r="AG26" s="3" t="s">
        <v>68</v>
      </c>
      <c r="AH26" s="3" t="s">
        <v>0</v>
      </c>
      <c r="AI26" s="3" t="s">
        <v>0</v>
      </c>
      <c r="AJ26" s="3" t="s">
        <v>66</v>
      </c>
      <c r="AK26" s="3" t="s">
        <v>160</v>
      </c>
      <c r="AL26" s="3" t="s">
        <v>0</v>
      </c>
      <c r="AM26" s="3">
        <v>38.9</v>
      </c>
      <c r="AN26" s="3">
        <v>15.7</v>
      </c>
      <c r="AO26" s="3">
        <v>38.3</v>
      </c>
      <c r="AP26" s="3">
        <v>43.4</v>
      </c>
      <c r="AQ26" s="3" t="s">
        <v>0</v>
      </c>
      <c r="AR26" s="3" t="s">
        <v>84</v>
      </c>
      <c r="AS26" s="3" t="s">
        <v>66</v>
      </c>
      <c r="AT26" s="3" t="s">
        <v>72</v>
      </c>
      <c r="AU26" s="3" t="s">
        <v>165</v>
      </c>
      <c r="AV26" s="3" t="s">
        <v>0</v>
      </c>
      <c r="AW26" s="3" t="s">
        <v>60</v>
      </c>
      <c r="AX26" s="3" t="s">
        <v>91</v>
      </c>
      <c r="CY26">
        <v>1</v>
      </c>
      <c r="CZ26" s="1">
        <f t="shared" si="0"/>
        <v>7072.5</v>
      </c>
    </row>
    <row r="27" spans="1:104">
      <c r="A27" s="3">
        <v>22</v>
      </c>
      <c r="B27" s="3" t="s">
        <v>170</v>
      </c>
      <c r="C27" s="3" t="s">
        <v>56</v>
      </c>
      <c r="D27" s="3" t="s">
        <v>57</v>
      </c>
      <c r="E27" s="3">
        <v>1.5</v>
      </c>
      <c r="F27" s="3" t="s">
        <v>95</v>
      </c>
      <c r="G27" s="3" t="s">
        <v>0</v>
      </c>
      <c r="H27" s="3" t="s">
        <v>151</v>
      </c>
      <c r="I27" s="3" t="s">
        <v>0</v>
      </c>
      <c r="J27" s="3" t="s">
        <v>60</v>
      </c>
      <c r="K27" s="3" t="s">
        <v>60</v>
      </c>
      <c r="L27" s="3" t="s">
        <v>66</v>
      </c>
      <c r="M27" s="3">
        <v>5723.6</v>
      </c>
      <c r="N27" s="4">
        <v>-30.2</v>
      </c>
      <c r="O27" s="3">
        <v>8585.4</v>
      </c>
      <c r="P27" s="3">
        <v>8200</v>
      </c>
      <c r="Q27" s="5" t="s">
        <v>62</v>
      </c>
      <c r="R27" s="5" t="s">
        <v>63</v>
      </c>
      <c r="S27" s="3" t="s">
        <v>171</v>
      </c>
      <c r="T27" s="3">
        <v>4.02</v>
      </c>
      <c r="U27" s="3">
        <v>62.3</v>
      </c>
      <c r="V27" s="3">
        <v>57</v>
      </c>
      <c r="W27" s="3">
        <v>1.43</v>
      </c>
      <c r="X27" s="3" t="s">
        <v>172</v>
      </c>
      <c r="Y27" s="3" t="s">
        <v>66</v>
      </c>
      <c r="Z27" s="3" t="s">
        <v>173</v>
      </c>
      <c r="AA27" s="3" t="s">
        <v>67</v>
      </c>
      <c r="AB27" s="3" t="s">
        <v>154</v>
      </c>
      <c r="AC27" s="3" t="s">
        <v>69</v>
      </c>
      <c r="AD27" s="3" t="s">
        <v>68</v>
      </c>
      <c r="AE27" s="3" t="s">
        <v>68</v>
      </c>
      <c r="AF27" s="3" t="s">
        <v>68</v>
      </c>
      <c r="AG27" s="3" t="s">
        <v>68</v>
      </c>
      <c r="AH27" s="3" t="s">
        <v>0</v>
      </c>
      <c r="AI27" s="3" t="s">
        <v>0</v>
      </c>
      <c r="AJ27" s="3" t="s">
        <v>66</v>
      </c>
      <c r="AK27" s="3" t="s">
        <v>129</v>
      </c>
      <c r="AL27" s="3" t="s">
        <v>0</v>
      </c>
      <c r="AM27" s="3">
        <v>35</v>
      </c>
      <c r="AN27" s="3">
        <v>15.7</v>
      </c>
      <c r="AO27" s="3">
        <v>37.8</v>
      </c>
      <c r="AP27" s="3">
        <v>43.6</v>
      </c>
      <c r="AQ27" s="3" t="s">
        <v>0</v>
      </c>
      <c r="AR27" s="3" t="s">
        <v>145</v>
      </c>
      <c r="AS27" s="3" t="s">
        <v>66</v>
      </c>
      <c r="AT27" s="3" t="s">
        <v>68</v>
      </c>
      <c r="AU27" s="3" t="s">
        <v>0</v>
      </c>
      <c r="AV27" s="3" t="s">
        <v>0</v>
      </c>
      <c r="AW27" s="3" t="s">
        <v>60</v>
      </c>
      <c r="AX27" s="3" t="s">
        <v>91</v>
      </c>
      <c r="CY27">
        <v>1</v>
      </c>
      <c r="CZ27" s="1">
        <f t="shared" si="0"/>
        <v>8585.4</v>
      </c>
    </row>
    <row r="28" spans="1:104">
      <c r="A28" s="3">
        <v>23</v>
      </c>
      <c r="B28" s="3" t="s">
        <v>174</v>
      </c>
      <c r="C28" s="3" t="s">
        <v>56</v>
      </c>
      <c r="D28" s="3" t="s">
        <v>57</v>
      </c>
      <c r="E28" s="3">
        <v>1.5</v>
      </c>
      <c r="F28" s="3" t="s">
        <v>105</v>
      </c>
      <c r="G28" s="3" t="s">
        <v>0</v>
      </c>
      <c r="H28" s="3" t="s">
        <v>175</v>
      </c>
      <c r="I28" s="3" t="s">
        <v>0</v>
      </c>
      <c r="J28" s="3" t="s">
        <v>60</v>
      </c>
      <c r="K28" s="3" t="s">
        <v>60</v>
      </c>
      <c r="L28" s="3" t="s">
        <v>66</v>
      </c>
      <c r="M28" s="3">
        <v>5723.6</v>
      </c>
      <c r="N28" s="4">
        <v>-30.2</v>
      </c>
      <c r="O28" s="3">
        <v>8585.4</v>
      </c>
      <c r="P28" s="3">
        <v>8200</v>
      </c>
      <c r="Q28" s="5" t="s">
        <v>62</v>
      </c>
      <c r="R28" s="5" t="s">
        <v>63</v>
      </c>
      <c r="S28" s="3" t="s">
        <v>176</v>
      </c>
      <c r="T28" s="3">
        <v>3.96</v>
      </c>
      <c r="U28" s="3">
        <v>63.5</v>
      </c>
      <c r="V28" s="3">
        <v>63</v>
      </c>
      <c r="W28" s="3">
        <v>1.47</v>
      </c>
      <c r="X28" s="3" t="s">
        <v>153</v>
      </c>
      <c r="Y28" s="3" t="s">
        <v>66</v>
      </c>
      <c r="Z28" s="3" t="s">
        <v>101</v>
      </c>
      <c r="AA28" s="3" t="s">
        <v>67</v>
      </c>
      <c r="AB28" s="3" t="s">
        <v>154</v>
      </c>
      <c r="AC28" s="3" t="s">
        <v>69</v>
      </c>
      <c r="AD28" s="3" t="s">
        <v>68</v>
      </c>
      <c r="AE28" s="3" t="s">
        <v>68</v>
      </c>
      <c r="AF28" s="3" t="s">
        <v>68</v>
      </c>
      <c r="AG28" s="3" t="s">
        <v>68</v>
      </c>
      <c r="AH28" s="3" t="s">
        <v>0</v>
      </c>
      <c r="AI28" s="3" t="s">
        <v>0</v>
      </c>
      <c r="AJ28" s="3" t="s">
        <v>66</v>
      </c>
      <c r="AK28" s="3" t="s">
        <v>129</v>
      </c>
      <c r="AL28" s="3" t="s">
        <v>0</v>
      </c>
      <c r="AM28" s="3">
        <v>38.33</v>
      </c>
      <c r="AN28" s="3">
        <v>11.27</v>
      </c>
      <c r="AO28" s="3">
        <v>37.66</v>
      </c>
      <c r="AP28" s="3">
        <v>36.57</v>
      </c>
      <c r="AQ28" s="3" t="s">
        <v>0</v>
      </c>
      <c r="AR28" s="3" t="s">
        <v>90</v>
      </c>
      <c r="AS28" s="3" t="s">
        <v>66</v>
      </c>
      <c r="AT28" s="3" t="s">
        <v>72</v>
      </c>
      <c r="AU28" s="3" t="s">
        <v>0</v>
      </c>
      <c r="AV28" s="3" t="s">
        <v>0</v>
      </c>
      <c r="AW28" s="3" t="s">
        <v>60</v>
      </c>
      <c r="AX28" s="3" t="s">
        <v>91</v>
      </c>
      <c r="CY28">
        <v>1</v>
      </c>
      <c r="CZ28" s="1">
        <f t="shared" si="0"/>
        <v>8585.4</v>
      </c>
    </row>
  </sheetData>
  <autoFilter xmlns:etc="http://www.wps.cn/officeDocument/2017/etCustomData" ref="A5:AX28" etc:filterBottomFollowUsedRange="0">
    <extLst/>
  </autoFilter>
  <mergeCells count="3">
    <mergeCell ref="C1:D1"/>
    <mergeCell ref="C2:D2"/>
    <mergeCell ref="C3:D3"/>
  </mergeCells>
  <hyperlinks>
    <hyperlink ref="Q6" r:id="rId1" display="GIA" tooltip="https://d3ala6utm5rxsh.cloudfront.net/Images/6531976566.jpg"/>
    <hyperlink ref="R6" r:id="rId2" display="DNA" tooltip="https://site.kapugems.com/#/dna-one/41778066?key=7tRvkp%23UUxy1sXx0GZhTQX5GmY4@k5pr"/>
    <hyperlink ref="Q7" r:id="rId3" display="GIA" tooltip="https://d3ala6utm5rxsh.cloudfront.net/Images/6532565132.jpg"/>
    <hyperlink ref="R7" r:id="rId4" display="DNA" tooltip="https://site.kapugems.com/#/dna-one/41152835?key=7tRvkp%23UUxy1sXx0GZhTQX5GmY4@k5pr"/>
    <hyperlink ref="Q8" r:id="rId5" display="GIA" tooltip="https://d3ala6utm5rxsh.cloudfront.net/Images/5526657027.jpg"/>
    <hyperlink ref="R8" r:id="rId6" display="DNA" tooltip="https://site.kapugems.com/#/dna-one/39452095?key=7tRvkp%23UUxy1sXx0GZhTQX5GmY4@k5pr"/>
    <hyperlink ref="Q9" r:id="rId7" display="GIA" tooltip="https://d3ala6utm5rxsh.cloudfront.net/Images/5231753296.jpg"/>
    <hyperlink ref="R9" r:id="rId8" display="DNA" tooltip="https://site.kapugems.com/#/dna-one/41562432?key=7tRvkp%23UUxy1sXx0GZhTQX5GmY4@k5pr"/>
    <hyperlink ref="Q10" r:id="rId9" display="GIA" tooltip="https://d3ala6utm5rxsh.cloudfront.net/Images/6532794185.jpg"/>
    <hyperlink ref="R10" r:id="rId10" display="DNA" tooltip="https://site.kapugems.com/#/dna-one/41562428?key=7tRvkp%23UUxy1sXx0GZhTQX5GmY4@k5pr"/>
    <hyperlink ref="Q11" r:id="rId11" display="GIA" tooltip="https://d3ala6utm5rxsh.cloudfront.net/Images/1236819195.jpg"/>
    <hyperlink ref="R11" r:id="rId12" display="DNA" tooltip="https://site.kapugems.com/#/dna-one/42049512?key=7tRvkp%23UUxy1sXx0GZhTQX5GmY4@k5pr"/>
    <hyperlink ref="Q12" r:id="rId13" display="GIA" tooltip="https://d3ala6utm5rxsh.cloudfront.net/Images/2537506103.jpg"/>
    <hyperlink ref="R12" r:id="rId14" display="DNA" tooltip="https://site.kapugems.com/#/dna-one/40991484?key=7tRvkp%23UUxy1sXx0GZhTQX5GmY4@k5pr"/>
    <hyperlink ref="Q13" r:id="rId15" display="GIA" tooltip="https://d3ala6utm5rxsh.cloudfront.net/Images/6525130900.jpg"/>
    <hyperlink ref="R13" r:id="rId16" display="DNA" tooltip="https://site.kapugems.com/#/dna-one/38379714?key=7tRvkp%23UUxy1sXx0GZhTQX5GmY4@k5pr"/>
    <hyperlink ref="Q14" r:id="rId17" display="GIA" tooltip="https://d3ala6utm5rxsh.cloudfront.net/Images/6531950491.jpg"/>
    <hyperlink ref="R14" r:id="rId18" display="DNA" tooltip="https://site.kapugems.com/#/dna-one/41759499?key=7tRvkp%23UUxy1sXx0GZhTQX5GmY4@k5pr"/>
    <hyperlink ref="Q15" r:id="rId19" display="GIA" tooltip="https://d3ala6utm5rxsh.cloudfront.net/Images/6531471723.jpg"/>
    <hyperlink ref="R15" r:id="rId20" display="DNA" tooltip="https://site.kapugems.com/#/dna-one/41277782?key=7tRvkp%23UUxy1sXx0GZhTQX5GmY4@k5pr"/>
    <hyperlink ref="Q16" r:id="rId21" display="GIA" tooltip="https://d3ala6utm5rxsh.cloudfront.net/Images/6531866008.jpg"/>
    <hyperlink ref="R16" r:id="rId22" display="DNA" tooltip="https://site.kapugems.com/#/dna-one/41837772?key=7tRvkp%23UUxy1sXx0GZhTQX5GmY4@k5pr"/>
    <hyperlink ref="Q17" r:id="rId23" display="GIA" tooltip="https://d3ala6utm5rxsh.cloudfront.net/Images/1525987095.jpg"/>
    <hyperlink ref="R17" r:id="rId24" display="DNA" tooltip="https://site.kapugems.com/#/dna-one/40241673?key=7tRvkp%23UUxy1sXx0GZhTQX5GmY4@k5pr"/>
    <hyperlink ref="Q18" r:id="rId25" display="GIA" tooltip="https://d3ala6utm5rxsh.cloudfront.net/Images/1535778542.jpg"/>
    <hyperlink ref="R18" r:id="rId26" display="DNA" tooltip="https://site.kapugems.com/#/dna-one/41531392?key=7tRvkp%23UUxy1sXx0GZhTQX5GmY4@k5pr"/>
    <hyperlink ref="Q19" r:id="rId27" display="GIA" tooltip="https://d3ala6utm5rxsh.cloudfront.net/Images/6531927653.jpg"/>
    <hyperlink ref="R19" r:id="rId28" display="DNA" tooltip="https://site.kapugems.com/#/dna-one/41710320?key=7tRvkp%23UUxy1sXx0GZhTQX5GmY4@k5pr"/>
    <hyperlink ref="Q20" r:id="rId29" display="GIA" tooltip="https://d3ala6utm5rxsh.cloudfront.net/Images/1535896892.jpg"/>
    <hyperlink ref="R20" r:id="rId30" display="DNA" tooltip="https://site.kapugems.com/#/dna-one/41673702?key=7tRvkp%23UUxy1sXx0GZhTQX5GmY4@k5pr"/>
    <hyperlink ref="Q21" r:id="rId31" display="GIA" tooltip="https://d3ala6utm5rxsh.cloudfront.net/Images/7536509040.jpg"/>
    <hyperlink ref="R21" r:id="rId32" display="DNA" tooltip="https://site.kapugems.com/#/dna-one/41036373?key=7tRvkp%23UUxy1sXx0GZhTQX5GmY4@k5pr"/>
    <hyperlink ref="Q22" r:id="rId33" display="GIA" tooltip="https://d3ala6utm5rxsh.cloudfront.net/Images/7542249689.jpg"/>
    <hyperlink ref="R22" r:id="rId34" display="DNA" tooltip="https://site.kapugems.com/#/dna-one/42484025?key=7tRvkp%23UUxy1sXx0GZhTQX5GmY4@k5pr"/>
    <hyperlink ref="Q23" r:id="rId35" display="GIA" tooltip="https://d3ala6utm5rxsh.cloudfront.net/Images/5533794092.jpg"/>
    <hyperlink ref="R23" r:id="rId36" display="DNA" tooltip="https://site.kapugems.com/#/dna-one/41562381?key=7tRvkp%23UUxy1sXx0GZhTQX5GmY4@k5pr"/>
    <hyperlink ref="Q24" r:id="rId37" display="GIA" tooltip="https://d3ala6utm5rxsh.cloudfront.net/Images/1523534591.jpg"/>
    <hyperlink ref="R24" r:id="rId38" display="DNA" tooltip="https://site.kapugems.com/#/dna-one/39259704?key=7tRvkp%23UUxy1sXx0GZhTQX5GmY4@k5pr"/>
    <hyperlink ref="Q25" r:id="rId39" display="GIA" tooltip="https://d3ala6utm5rxsh.cloudfront.net/Images/2235753301.jpg"/>
    <hyperlink ref="R25" r:id="rId40" display="DNA" tooltip="https://site.kapugems.com/#/dna-one/41710296?key=7tRvkp%23UUxy1sXx0GZhTQX5GmY4@k5pr"/>
    <hyperlink ref="Q26" r:id="rId41" display="GIA" tooltip="https://d3ala6utm5rxsh.cloudfront.net/Images/6522054937.jpg"/>
    <hyperlink ref="R26" r:id="rId42" display="DNA" tooltip="https://site.kapugems.com/#/dna-one/38272905?key=7tRvkp%23UUxy1sXx0GZhTQX5GmY4@k5pr"/>
    <hyperlink ref="Q27" r:id="rId43" display="GIA" tooltip="https://d3ala6utm5rxsh.cloudfront.net/Images/2537943194.jpg"/>
    <hyperlink ref="R27" r:id="rId44" display="DNA" tooltip="https://site.kapugems.com/#/dna-one/41743364?key=7tRvkp%23UUxy1sXx0GZhTQX5GmY4@k5pr"/>
    <hyperlink ref="Q28" r:id="rId45" display="GIA" tooltip="https://d3ala6utm5rxsh.cloudfront.net/Images/2516796660.jpg"/>
    <hyperlink ref="R28" r:id="rId46" display="DNA" tooltip="https://site.kapugems.com/#/dna-one/37785947?key=7tRvkp%23UUxy1sXx0GZhTQX5GmY4@k5pr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Arsh Sakaria</cp:lastModifiedBy>
  <dcterms:created xsi:type="dcterms:W3CDTF">2026-01-22T17:08:19Z</dcterms:created>
  <dcterms:modified xsi:type="dcterms:W3CDTF">2026-01-22T17:16:56Z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2A2EFA7FCD313969300E7269FF63EBAA_43</vt:lpwstr>
  </property>
</Properties>
</file>