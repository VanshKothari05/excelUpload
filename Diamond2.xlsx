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vjXLResult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<sst xmlns="http://schemas.openxmlformats.org/spreadsheetml/2006/main" count="2409" uniqueCount="796">
  <si>
    <t>Result</t>
  </si>
  <si>
    <t>15/Jan/26 20:22:32</t>
  </si>
  <si>
    <t>Sr.No</t>
  </si>
  <si>
    <t>Packet No</t>
  </si>
  <si>
    <t>Status / Location</t>
  </si>
  <si>
    <t>Cert</t>
  </si>
  <si>
    <t>Shape</t>
  </si>
  <si>
    <t>Carats</t>
  </si>
  <si>
    <t>Price/Cts INR</t>
  </si>
  <si>
    <t>Disc%</t>
  </si>
  <si>
    <t>Clarity</t>
  </si>
  <si>
    <t>Color</t>
  </si>
  <si>
    <t>Type2 Certi</t>
  </si>
  <si>
    <t>Color Shade</t>
  </si>
  <si>
    <t>Cut</t>
  </si>
  <si>
    <t>Pol</t>
  </si>
  <si>
    <t>Sym</t>
  </si>
  <si>
    <t>Fluro</t>
  </si>
  <si>
    <t>Fl. Col</t>
  </si>
  <si>
    <t>FE</t>
  </si>
  <si>
    <t>Luster</t>
  </si>
  <si>
    <t>Naked Eye</t>
  </si>
  <si>
    <t>Depth %</t>
  </si>
  <si>
    <t>Table %</t>
  </si>
  <si>
    <t>Blk Incl</t>
  </si>
  <si>
    <t>Tbl Incl</t>
  </si>
  <si>
    <t>Measurement</t>
  </si>
  <si>
    <t>L:W</t>
  </si>
  <si>
    <t>Grd %</t>
  </si>
  <si>
    <t>Incl Ptrn</t>
  </si>
  <si>
    <t>Int Grn</t>
  </si>
  <si>
    <t>Int Grn Typ</t>
  </si>
  <si>
    <t>Tbl Opn</t>
  </si>
  <si>
    <t>Crn Opn</t>
  </si>
  <si>
    <t>Pav Opn</t>
  </si>
  <si>
    <t>Grd Crn Opn</t>
  </si>
  <si>
    <t>Table Black</t>
  </si>
  <si>
    <t>LP</t>
  </si>
  <si>
    <t>Polished</t>
  </si>
  <si>
    <t>Front Hand</t>
  </si>
  <si>
    <t>Back Hand</t>
  </si>
  <si>
    <t xml:space="preserve"> Tweezer</t>
  </si>
  <si>
    <t>Light Video</t>
  </si>
  <si>
    <t>Dark Video</t>
  </si>
  <si>
    <t>Video with Details</t>
  </si>
  <si>
    <t>MP4 Video</t>
  </si>
  <si>
    <t>Plotting</t>
  </si>
  <si>
    <t>Fluorescence</t>
  </si>
  <si>
    <t>Journey</t>
  </si>
  <si>
    <t>Consumer Video</t>
  </si>
  <si>
    <t>ASET</t>
  </si>
  <si>
    <t>Hearts &amp; Arrows</t>
  </si>
  <si>
    <t>Key To Symbol</t>
  </si>
  <si>
    <t>Additional Comments</t>
  </si>
  <si>
    <t>Disc Price</t>
  </si>
  <si>
    <t>Disc Total</t>
  </si>
  <si>
    <t>Total Amt</t>
  </si>
  <si>
    <t>1</t>
  </si>
  <si>
    <t>501240303</t>
  </si>
  <si>
    <t xml:space="preserve">Israel </t>
  </si>
  <si>
    <t>GIA</t>
  </si>
  <si>
    <t>OB</t>
  </si>
  <si>
    <t>547600</t>
  </si>
  <si>
    <t>VVS1</t>
  </si>
  <si>
    <t>E</t>
  </si>
  <si>
    <t/>
  </si>
  <si>
    <t>VG+</t>
  </si>
  <si>
    <t>EX</t>
  </si>
  <si>
    <t>VG</t>
  </si>
  <si>
    <t>Med</t>
  </si>
  <si>
    <t>BL</t>
  </si>
  <si>
    <t>N</t>
  </si>
  <si>
    <t>N0</t>
  </si>
  <si>
    <t>T0</t>
  </si>
  <si>
    <t>10.30 x 6.43 x 4.05</t>
  </si>
  <si>
    <t>NN</t>
  </si>
  <si>
    <t>NA</t>
  </si>
  <si>
    <t>https://d1g2oudknjs8jf.cloudfront.net/prodpolweb/imgfiles/l1ib11ohi042.JPG?MTA3OTY=</t>
  </si>
  <si>
    <t>https://d1s5m21q2l18ke.cloudfront.net/VISION360/Vision360.html?d=l1ib11ohi042&amp;surl=https://d1s5m21q2l18ke.cloudfront.net/v360_mov_white/&amp;sv=1&amp;displayAllSideview=1&amp;MTA3OTY=</t>
  </si>
  <si>
    <t>https://d1s5m21q2l18ke.cloudfront.net/VISION360/Vision360.html?d=l1ib11ohi042&amp;surl=https://d1s5m21q2l18ke.cloudfront.net/v360_mov_black/&amp;sv=1&amp;displayAllSideview=1&amp;MTA3OTY=</t>
  </si>
  <si>
    <t>https://d1s5m21q2l18ke.cloudfront.net/v360_mov/l1ib11ohi042.HTML?sv=1&amp;displayAllSideview=1&amp;MTA3OTY=</t>
  </si>
  <si>
    <t>https://d1s5m21q2l18ke.cloudfront.net/white_mov_video/l1ib11ohi042.MP4?MTA3OTY=</t>
  </si>
  <si>
    <t>https://d1s5m21q2l18ke.cloudfront.net/plotting.html?l1ib11ohi042</t>
  </si>
  <si>
    <t>https://d1g2oudknjs8jf.cloudfront.net/prodpolweb/fl_img/l1ib11ohi042.PNG?MTA3OTY=</t>
  </si>
  <si>
    <t>https://dyffw9lb8wur6.cloudfront.net/v360videos/l1ib11ohi042.MP4?MTA3OTY=</t>
  </si>
  <si>
    <t>https://d1g2oudknjs8jf.cloudfront.net/prodpolweb/asetimage/l1ib11ohi042.JPG?MTA3OTY=</t>
  </si>
  <si>
    <t>Feather</t>
  </si>
  <si>
    <t>12400</t>
  </si>
  <si>
    <t>2</t>
  </si>
  <si>
    <t>107910051</t>
  </si>
  <si>
    <t>PDS - 15-Jan</t>
  </si>
  <si>
    <t>585900</t>
  </si>
  <si>
    <t>None</t>
  </si>
  <si>
    <t>9.10 x 6.32 x 4.04</t>
  </si>
  <si>
    <t>https://d1g2oudknjs8jf.cloudfront.net/prodpolweb/imgg_file/h1db5skj23.JPG?MTA3OTY=</t>
  </si>
  <si>
    <t>https://d1s5m21q2l18ke.cloudfront.net/VISION360/Vision360.html?d=h1db5skj23&amp;surl=https://d1s5m21q2l18ke.cloudfront.net/v360_mov_grey/&amp;sv=1&amp;displayAllSideview=1&amp;MTA3OTY=</t>
  </si>
  <si>
    <t>https://d1s5m21q2l18ke.cloudfront.net/VISION360/Vision360.html?d=h1db5skj23&amp;surl=https://d1s5m21q2l18ke.cloudfront.net/v360_mov_black/&amp;sv=1&amp;displayAllSideview=1&amp;MTA3OTY=</t>
  </si>
  <si>
    <t>https://d1s5m21q2l18ke.cloudfront.net/v360_mov/h1db5skj23.HTML?sv=1&amp;displayAllSideview=1&amp;MTA3OTY=</t>
  </si>
  <si>
    <t>https://d1s5m21q2l18ke.cloudfront.net/grey_mov_video/h1db5skj23.MP4?MTA3OTY=</t>
  </si>
  <si>
    <t>https://d1s5m21q2l18ke.cloudfront.net/plotting.html?h1db5skj23</t>
  </si>
  <si>
    <t>https://dyffw9lb8wur6.cloudfront.net/v360videos/h1db5skj23.MP4?MTA3OTY=</t>
  </si>
  <si>
    <t>https://d1g2oudknjs8jf.cloudfront.net/prodpolweb/asetimage/h1db5skj23.JPG?MTA3OTY=</t>
  </si>
  <si>
    <t>3</t>
  </si>
  <si>
    <t>107300073</t>
  </si>
  <si>
    <t>545400</t>
  </si>
  <si>
    <t>F</t>
  </si>
  <si>
    <t>9.07 x 6.22 x 3.98</t>
  </si>
  <si>
    <t>VS</t>
  </si>
  <si>
    <t>https://d1g2oudknjs8jf.cloudfront.net/prodpolweb/imgg_file/l5db3qjj27.JPG?MTA3OTY=</t>
  </si>
  <si>
    <t>https://d1s5m21q2l18ke.cloudfront.net/VISION360/Vision360.html?d=l5db3qjj27&amp;surl=https://d1s5m21q2l18ke.cloudfront.net/v360_mov_grey/&amp;sv=1&amp;displayAllSideview=1&amp;MTA3OTY=</t>
  </si>
  <si>
    <t>https://d1s5m21q2l18ke.cloudfront.net/VISION360/Vision360.html?d=l5db3qjj27&amp;surl=https://d1s5m21q2l18ke.cloudfront.net/v360_mov_black/&amp;sv=1&amp;displayAllSideview=1&amp;MTA3OTY=</t>
  </si>
  <si>
    <t>https://d1s5m21q2l18ke.cloudfront.net/v360_mov/l5db3qjj27.HTML?sv=1&amp;displayAllSideview=1&amp;MTA3OTY=</t>
  </si>
  <si>
    <t>https://d1s5m21q2l18ke.cloudfront.net/grey_mov_video/l5db3qjj27.MP4?MTA3OTY=</t>
  </si>
  <si>
    <t>https://d1s5m21q2l18ke.cloudfront.net/plotting.html?l5db3qjj27</t>
  </si>
  <si>
    <t>https://dyffw9lb8wur6.cloudfront.net/v360videos/l5db3qjj27.MP4?MTA3OTY=</t>
  </si>
  <si>
    <t>https://d1g2oudknjs8jf.cloudfront.net/prodpolweb/asetimage/l5db3qjj27.JPG?MTA3OTY=</t>
  </si>
  <si>
    <t>Pinpoint, Cloud</t>
  </si>
  <si>
    <t>A manufacturing remnant is not shown.</t>
  </si>
  <si>
    <t>11500</t>
  </si>
  <si>
    <t>4</t>
  </si>
  <si>
    <t>107760531</t>
  </si>
  <si>
    <t>590300</t>
  </si>
  <si>
    <t>9.10 x 6.45 x 3.97</t>
  </si>
  <si>
    <t>https://d1g2oudknjs8jf.cloudfront.net/prodpolweb/imgg_file/h7cc5pkj20.JPG?MTA3OTY=</t>
  </si>
  <si>
    <t>https://d1s5m21q2l18ke.cloudfront.net/VISION360/Vision360.html?d=h7cc5pkj20&amp;surl=https://d1s5m21q2l18ke.cloudfront.net/v360_mov_grey/&amp;sv=1&amp;displayAllSideview=1&amp;MTA3OTY=</t>
  </si>
  <si>
    <t>https://d1s5m21q2l18ke.cloudfront.net/VISION360/Vision360.html?d=h7cc5pkj20&amp;surl=https://d1s5m21q2l18ke.cloudfront.net/v360_mov_black/&amp;sv=1&amp;displayAllSideview=1&amp;MTA3OTY=</t>
  </si>
  <si>
    <t>https://d1s5m21q2l18ke.cloudfront.net/v360_mov/h7cc5pkj20.HTML?sv=1&amp;displayAllSideview=1&amp;MTA3OTY=</t>
  </si>
  <si>
    <t>https://d1s5m21q2l18ke.cloudfront.net/grey_mov_video/h7cc5pkj20.MP4?MTA3OTY=</t>
  </si>
  <si>
    <t>https://d1s5m21q2l18ke.cloudfront.net/plotting.html?h7cc5pkj20</t>
  </si>
  <si>
    <t>https://dyffw9lb8wur6.cloudfront.net/v360videos/h7cc5pkj20.MP4?MTA3OTY=</t>
  </si>
  <si>
    <t>https://d1g2oudknjs8jf.cloudfront.net/prodpolweb/asetimage/h7cc5pkj20.JPG?MTA3OTY=</t>
  </si>
  <si>
    <t>Pinpoint</t>
  </si>
  <si>
    <t>5</t>
  </si>
  <si>
    <t>104530047</t>
  </si>
  <si>
    <t>375200</t>
  </si>
  <si>
    <t>9.05 x 6.49 x 3.97</t>
  </si>
  <si>
    <t>TRA</t>
  </si>
  <si>
    <t>https://d1g2oudknjs8jf.cloudfront.net/prodpolweb/imgg_file/j10cb9koi20.JPG?MTA3OTY=</t>
  </si>
  <si>
    <t>https://d1s5m21q2l18ke.cloudfront.net/VISION360/Vision360.html?d=j10cb9koi20&amp;surl=https://d1s5m21q2l18ke.cloudfront.net/v360_mov_grey/&amp;sv=1&amp;displayAllSideview=1&amp;MTA3OTY=</t>
  </si>
  <si>
    <t>https://d1s5m21q2l18ke.cloudfront.net/VISION360/Vision360.html?d=j10cb9koi20&amp;surl=https://d1s5m21q2l18ke.cloudfront.net/v360_mov_black/&amp;sv=1&amp;displayAllSideview=1&amp;MTA3OTY=</t>
  </si>
  <si>
    <t>https://d1s5m21q2l18ke.cloudfront.net/v360_mov/j10cb9koi20.HTML?sv=1&amp;displayAllSideview=1&amp;MTA3OTY=</t>
  </si>
  <si>
    <t>https://d1s5m21q2l18ke.cloudfront.net/grey_mov_video/j10cb9koi20.MP4?MTA3OTY=</t>
  </si>
  <si>
    <t>https://d1s5m21q2l18ke.cloudfront.net/plotting.html?j10cb9koi20</t>
  </si>
  <si>
    <t>https://d1g2oudknjs8jf.cloudfront.net/prodpolweb/fl_img/j10cb9koi20.JPG?MTA3OTY=</t>
  </si>
  <si>
    <t>https://dyffw9lb8wur6.cloudfront.net/v360videos/j10cb9koi20.MP4?MTA3OTY=</t>
  </si>
  <si>
    <t>https://d1g2oudknjs8jf.cloudfront.net/prodpolweb/asetimage/j10cb9koi20.JPG?MTA3OTY=</t>
  </si>
  <si>
    <t>6</t>
  </si>
  <si>
    <t>107151108</t>
  </si>
  <si>
    <t>380000</t>
  </si>
  <si>
    <t>VVS2</t>
  </si>
  <si>
    <t>8.83 x 6.30 x 3.99</t>
  </si>
  <si>
    <t>https://d1g2oudknjs8jf.cloudfront.net/prodpolweb/imgg_file/l2ed3njj214.JPG?MTA3OTY=</t>
  </si>
  <si>
    <t>https://d1s5m21q2l18ke.cloudfront.net/VISION360/Vision360.html?d=l2ed3njj214&amp;surl=https://d1s5m21q2l18ke.cloudfront.net/v360_mov_grey/&amp;sv=1&amp;displayAllSideview=1&amp;MTA3OTY=</t>
  </si>
  <si>
    <t>https://d1s5m21q2l18ke.cloudfront.net/VISION360/Vision360.html?d=l2ed3njj214&amp;surl=https://d1s5m21q2l18ke.cloudfront.net/v360_mov_black/&amp;sv=1&amp;displayAllSideview=1&amp;MTA3OTY=</t>
  </si>
  <si>
    <t>https://d1s5m21q2l18ke.cloudfront.net/v360_mov/l2ed3njj214.HTML?sv=1&amp;displayAllSideview=1&amp;MTA3OTY=</t>
  </si>
  <si>
    <t>https://d1s5m21q2l18ke.cloudfront.net/grey_mov_video/l2ed3njj214.MP4?MTA3OTY=</t>
  </si>
  <si>
    <t>https://d1s5m21q2l18ke.cloudfront.net/plotting.html?l2ed3njj214</t>
  </si>
  <si>
    <t>https://d1g2oudknjs8jf.cloudfront.net/prodpolweb/fl_img/l2ed3njj214.PNG?MTA3OTY=</t>
  </si>
  <si>
    <t>https://dyffw9lb8wur6.cloudfront.net/v360videos/l2ed3njj214.MP4?MTA3OTY=</t>
  </si>
  <si>
    <t>https://d1g2oudknjs8jf.cloudfront.net/prodpolweb/asetimage/l2ed3njj214.JPG?MTA3OTY=</t>
  </si>
  <si>
    <t>Feather, Natural</t>
  </si>
  <si>
    <t>10800</t>
  </si>
  <si>
    <t>7</t>
  </si>
  <si>
    <t>107270175</t>
  </si>
  <si>
    <t>524700</t>
  </si>
  <si>
    <t>8.81 x 6.33 x 4.05</t>
  </si>
  <si>
    <t>https://d1g2oudknjs8jf.cloudfront.net/prodpolweb/imgg_file/f6fb7pjj23.JPG?MTA3OTY=</t>
  </si>
  <si>
    <t>https://d1s5m21q2l18ke.cloudfront.net/VISION360/Vision360.html?d=f6fb7pjj23&amp;surl=https://d1s5m21q2l18ke.cloudfront.net/v360_mov_grey/&amp;sv=1&amp;displayAllSideview=1&amp;MTA3OTY=</t>
  </si>
  <si>
    <t>https://d1s5m21q2l18ke.cloudfront.net/VISION360/Vision360.html?d=f6fb7pjj23&amp;surl=https://d1s5m21q2l18ke.cloudfront.net/v360_mov_black/&amp;sv=1&amp;displayAllSideview=1&amp;MTA3OTY=</t>
  </si>
  <si>
    <t>https://d1s5m21q2l18ke.cloudfront.net/v360_mov/f6fb7pjj23.HTML?sv=1&amp;displayAllSideview=1&amp;MTA3OTY=</t>
  </si>
  <si>
    <t>https://d1s5m21q2l18ke.cloudfront.net/grey_mov_video/f6fb7pjj23.MP4?MTA3OTY=</t>
  </si>
  <si>
    <t>https://d1s5m21q2l18ke.cloudfront.net/plotting.html?f6fb7pjj23</t>
  </si>
  <si>
    <t>https://dyffw9lb8wur6.cloudfront.net/v360videos/f6fb7pjj23.MP4?MTA3OTY=</t>
  </si>
  <si>
    <t>https://d1g2oudknjs8jf.cloudfront.net/prodpolweb/asetimage/f6fb7pjj23.JPG?MTA3OTY=</t>
  </si>
  <si>
    <t>Pinpoint, Feather, Indented Natural, Natural</t>
  </si>
  <si>
    <t>8</t>
  </si>
  <si>
    <t>501160062</t>
  </si>
  <si>
    <t>Hong Kong</t>
  </si>
  <si>
    <t>343400</t>
  </si>
  <si>
    <t>GD</t>
  </si>
  <si>
    <t>T1</t>
  </si>
  <si>
    <t>8.57 x 6.27 x 4.13</t>
  </si>
  <si>
    <t>SM</t>
  </si>
  <si>
    <t>https://d1g2oudknjs8jf.cloudfront.net/prodpolweb/imgfiles/j3db5nhi05.JPG?MTA3OTY=</t>
  </si>
  <si>
    <t>https://d1s5m21q2l18ke.cloudfront.net/VISION360/Vision360.html?d=j3db5nhi05&amp;surl=https://d1s5m21q2l18ke.cloudfront.net/v360_mov_white/&amp;sv=1&amp;displayAllSideview=1&amp;MTA3OTY=</t>
  </si>
  <si>
    <t>https://d1s5m21q2l18ke.cloudfront.net/VISION360/Vision360.html?d=j3db5nhi05&amp;surl=https://d1s5m21q2l18ke.cloudfront.net/v360_mov_black/&amp;sv=1&amp;displayAllSideview=1&amp;MTA3OTY=</t>
  </si>
  <si>
    <t>https://d1s5m21q2l18ke.cloudfront.net/v360_mov/j3db5nhi05.HTML?sv=1&amp;displayAllSideview=1&amp;MTA3OTY=</t>
  </si>
  <si>
    <t>https://d1s5m21q2l18ke.cloudfront.net/white_mov_video/j3db5nhi05.MP4?MTA3OTY=</t>
  </si>
  <si>
    <t>https://d1s5m21q2l18ke.cloudfront.net/plotting.html?j3db5nhi05</t>
  </si>
  <si>
    <t>https://d1g2oudknjs8jf.cloudfront.net/prodpolweb/fl_img/j3db5nhi05.JPG?MTA3OTY=</t>
  </si>
  <si>
    <t>https://dyffw9lb8wur6.cloudfront.net/v360videos/j3db5nhi05.MP4?MTA3OTY=</t>
  </si>
  <si>
    <t>https://d1g2oudknjs8jf.cloudfront.net/prodpolweb/asetimage/j3db5nhi05.JPG?MTA3OTY=</t>
  </si>
  <si>
    <t>Cloud, Feather, Natural</t>
  </si>
  <si>
    <t>9</t>
  </si>
  <si>
    <t>501170345</t>
  </si>
  <si>
    <t>591900</t>
  </si>
  <si>
    <t>G</t>
  </si>
  <si>
    <t>EX+</t>
  </si>
  <si>
    <t>9.37 x 6.46 x 4.04</t>
  </si>
  <si>
    <t>https://d1g2oudknjs8jf.cloudfront.net/prodpolweb/imgfiles/f10ib7nhi06.JPG?MTA3OTY=</t>
  </si>
  <si>
    <t>https://d1s5m21q2l18ke.cloudfront.net/VISION360/Vision360.html?d=f10ib7nhi06&amp;surl=https://d1s5m21q2l18ke.cloudfront.net/v360_mov_white/&amp;sv=1&amp;displayAllSideview=1&amp;MTA3OTY=</t>
  </si>
  <si>
    <t>https://d1s5m21q2l18ke.cloudfront.net/VISION360/Vision360.html?d=f10ib7nhi06&amp;surl=https://d1s5m21q2l18ke.cloudfront.net/v360_mov_black/&amp;sv=1&amp;displayAllSideview=1&amp;MTA3OTY=</t>
  </si>
  <si>
    <t>https://d1s5m21q2l18ke.cloudfront.net/v360_mov/f10ib7nhi06.HTML?sv=1&amp;displayAllSideview=1&amp;MTA3OTY=</t>
  </si>
  <si>
    <t>https://d1s5m21q2l18ke.cloudfront.net/white_mov_video/f10ib7nhi06.MP4?MTA3OTY=</t>
  </si>
  <si>
    <t>https://d1s5m21q2l18ke.cloudfront.net/plotting.html?f10ib7nhi06</t>
  </si>
  <si>
    <t>https://dyffw9lb8wur6.cloudfront.net/v360videos/f10ib7nhi06.MP4?MTA3OTY=</t>
  </si>
  <si>
    <t>https://d1g2oudknjs8jf.cloudfront.net/prodpolweb/asetimage/f10ib7nhi06.JPG?MTA3OTY=</t>
  </si>
  <si>
    <t>Cloud, Pinpoint, Feather</t>
  </si>
  <si>
    <t>10500</t>
  </si>
  <si>
    <t>10</t>
  </si>
  <si>
    <t>106151350</t>
  </si>
  <si>
    <t>523800</t>
  </si>
  <si>
    <t>9.17 x 6.29 x 3.99</t>
  </si>
  <si>
    <t>https://d1g2oudknjs8jf.cloudfront.net/prodpolweb/imgg_file/f1jd3nhj27.JPG?MTA3OTY=</t>
  </si>
  <si>
    <t>https://d1s5m21q2l18ke.cloudfront.net/VISION360/Vision360.html?d=f1jd3nhj27&amp;surl=https://d1s5m21q2l18ke.cloudfront.net/v360_mov_grey/&amp;sv=1&amp;displayAllSideview=1&amp;MTA3OTY=</t>
  </si>
  <si>
    <t>https://d1s5m21q2l18ke.cloudfront.net/VISION360/Vision360.html?d=f1jd3nhj27&amp;surl=https://d1s5m21q2l18ke.cloudfront.net/v360_mov_black/&amp;sv=1&amp;displayAllSideview=1&amp;MTA3OTY=</t>
  </si>
  <si>
    <t>https://d1s5m21q2l18ke.cloudfront.net/v360_mov/f1jd3nhj27.HTML?sv=1&amp;displayAllSideview=1&amp;MTA3OTY=</t>
  </si>
  <si>
    <t>https://d1s5m21q2l18ke.cloudfront.net/grey_mov_video/f1jd3nhj27.MP4?MTA3OTY=</t>
  </si>
  <si>
    <t>https://d1s5m21q2l18ke.cloudfront.net/plotting.html?f1jd3nhj27</t>
  </si>
  <si>
    <t>https://dyffw9lb8wur6.cloudfront.net/v360videos/f1jd3nhj27.MP4?MTA3OTY=</t>
  </si>
  <si>
    <t>https://d1g2oudknjs8jf.cloudfront.net/prodpolweb/asetimage/f1jd3nhj27.JPG?MTA3OTY=</t>
  </si>
  <si>
    <t>Cloud</t>
  </si>
  <si>
    <t>11</t>
  </si>
  <si>
    <t>106160484</t>
  </si>
  <si>
    <t>385500</t>
  </si>
  <si>
    <t>8.92 x 6.51 x 4.27</t>
  </si>
  <si>
    <t>https://d1g2oudknjs8jf.cloudfront.net/prodpolweb/imgg_file/n7lb5nhj281.JPG?MTA3OTY=</t>
  </si>
  <si>
    <t>https://d1s5m21q2l18ke.cloudfront.net/VISION360/Vision360.html?d=n7lb5nhj281&amp;surl=https://d1s5m21q2l18ke.cloudfront.net/v360_mov_grey/&amp;sv=1&amp;displayAllSideview=1&amp;MTA3OTY=</t>
  </si>
  <si>
    <t>https://d1s5m21q2l18ke.cloudfront.net/VISION360/Vision360.html?d=n7lb5nhj281&amp;surl=https://d1s5m21q2l18ke.cloudfront.net/v360_mov_black/&amp;sv=1&amp;displayAllSideview=1&amp;MTA3OTY=</t>
  </si>
  <si>
    <t>https://d1s5m21q2l18ke.cloudfront.net/v360_mov/n7lb5nhj281.HTML?sv=1&amp;displayAllSideview=1&amp;MTA3OTY=</t>
  </si>
  <si>
    <t>https://d1s5m21q2l18ke.cloudfront.net/grey_mov_video/n7lb5nhj281.MP4?MTA3OTY=</t>
  </si>
  <si>
    <t>https://d1s5m21q2l18ke.cloudfront.net/plotting.html?n7lb5nhj281</t>
  </si>
  <si>
    <t>https://d1g2oudknjs8jf.cloudfront.net/prodpolweb/fl_img/n7lb5nhj281.PNG?MTA3OTY=</t>
  </si>
  <si>
    <t>https://dyffw9lb8wur6.cloudfront.net/v360videos/n7lb5nhj281.MP4?MTA3OTY=</t>
  </si>
  <si>
    <t>https://d1g2oudknjs8jf.cloudfront.net/prodpolweb/asetimage/n7lb5nhj281.JPG?MTA3OTY=</t>
  </si>
  <si>
    <t>Feather, Indented Natural, Natural</t>
  </si>
  <si>
    <t>12</t>
  </si>
  <si>
    <t>501240141</t>
  </si>
  <si>
    <t>Int. Hold- Hong Kong</t>
  </si>
  <si>
    <t>465400</t>
  </si>
  <si>
    <t>D</t>
  </si>
  <si>
    <t>Str</t>
  </si>
  <si>
    <t>N1</t>
  </si>
  <si>
    <t>9.40 x 6.71 x 4.27</t>
  </si>
  <si>
    <t>https://d1g2oudknjs8jf.cloudfront.net/prodpolweb/imgfiles/h9eb11ohi06.JPG?MTA3OTY=</t>
  </si>
  <si>
    <t>https://d1s5m21q2l18ke.cloudfront.net/VISION360/Vision360.html?d=h9eb11ohi06&amp;surl=https://d1s5m21q2l18ke.cloudfront.net/v360_mov_white/&amp;sv=1&amp;displayAllSideview=1&amp;MTA3OTY=</t>
  </si>
  <si>
    <t>https://d1s5m21q2l18ke.cloudfront.net/VISION360/Vision360.html?d=h9eb11ohi06&amp;surl=https://d1s5m21q2l18ke.cloudfront.net/v360_mov_black/&amp;sv=1&amp;displayAllSideview=1&amp;MTA3OTY=</t>
  </si>
  <si>
    <t>https://d1s5m21q2l18ke.cloudfront.net/v360_mov/h9eb11ohi06.HTML?sv=1&amp;displayAllSideview=1&amp;MTA3OTY=</t>
  </si>
  <si>
    <t>https://d1s5m21q2l18ke.cloudfront.net/white_mov_video/h9eb11ohi06.MP4?MTA3OTY=</t>
  </si>
  <si>
    <t>https://d1s5m21q2l18ke.cloudfront.net/plotting.html?h9eb11ohi06</t>
  </si>
  <si>
    <t>https://d1g2oudknjs8jf.cloudfront.net/prodpolweb/fl_img/h9eb11ohi06.PNG?MTA3OTY=</t>
  </si>
  <si>
    <t>https://dyffw9lb8wur6.cloudfront.net/v360videos/h9eb11ohi06.MP4?MTA3OTY=</t>
  </si>
  <si>
    <t>https://d1g2oudknjs8jf.cloudfront.net/prodpolweb/asetimage/h9eb11ohi06.JPG?MTA3OTY=</t>
  </si>
  <si>
    <t>Feather, Pinpoint, Natural</t>
  </si>
  <si>
    <t>12500</t>
  </si>
  <si>
    <t>13</t>
  </si>
  <si>
    <t>106161114</t>
  </si>
  <si>
    <t>348600</t>
  </si>
  <si>
    <t>GD+</t>
  </si>
  <si>
    <t>N3</t>
  </si>
  <si>
    <t>8.68 x 6.29 x 4.08</t>
  </si>
  <si>
    <t>S</t>
  </si>
  <si>
    <t>https://d1g2oudknjs8jf.cloudfront.net/prodpolweb/imgg_file/n3ed5nhj218.JPG?MTA3OTY=</t>
  </si>
  <si>
    <t>https://d1s5m21q2l18ke.cloudfront.net/VISION360/Vision360.html?d=n3ed5nhj218&amp;surl=https://d1s5m21q2l18ke.cloudfront.net/v360_mov_grey/&amp;sv=1&amp;displayAllSideview=1&amp;MTA3OTY=</t>
  </si>
  <si>
    <t>https://d1s5m21q2l18ke.cloudfront.net/VISION360/Vision360.html?d=n3ed5nhj218&amp;surl=https://d1s5m21q2l18ke.cloudfront.net/v360_mov_black/&amp;sv=1&amp;displayAllSideview=1&amp;MTA3OTY=</t>
  </si>
  <si>
    <t>https://d1s5m21q2l18ke.cloudfront.net/v360_mov/n3ed5nhj218.HTML?sv=1&amp;displayAllSideview=1&amp;MTA3OTY=</t>
  </si>
  <si>
    <t>https://d1s5m21q2l18ke.cloudfront.net/grey_mov_video/n3ed5nhj218.MP4?MTA3OTY=</t>
  </si>
  <si>
    <t>https://d1s5m21q2l18ke.cloudfront.net/plotting.html?n3ed5nhj218</t>
  </si>
  <si>
    <t>https://d1g2oudknjs8jf.cloudfront.net/prodpolweb/fl_img/n3ed5nhj218.PNG?MTA3OTY=</t>
  </si>
  <si>
    <t>https://dyffw9lb8wur6.cloudfront.net/v360videos/n3ed5nhj218.MP4?MTA3OTY=</t>
  </si>
  <si>
    <t>https://d1g2oudknjs8jf.cloudfront.net/prodpolweb/asetimage/n3ed5nhj218.JPG?MTA3OTY=</t>
  </si>
  <si>
    <t>Needle, Pinpoint</t>
  </si>
  <si>
    <t>Additional pinpoints are not shown.</t>
  </si>
  <si>
    <t>14</t>
  </si>
  <si>
    <t>107020451</t>
  </si>
  <si>
    <t>486300</t>
  </si>
  <si>
    <t>Fnt</t>
  </si>
  <si>
    <t>9.24 x 6.37 x 3.93</t>
  </si>
  <si>
    <t>https://d1g2oudknjs8jf.cloudfront.net/prodpolweb/imgg_file/h1lb7kjj227.JPG?MTA3OTY=</t>
  </si>
  <si>
    <t>https://d1s5m21q2l18ke.cloudfront.net/VISION360/Vision360.html?d=h1lb7kjj227&amp;surl=https://d1s5m21q2l18ke.cloudfront.net/v360_mov_grey/&amp;sv=1&amp;displayAllSideview=1&amp;MTA3OTY=</t>
  </si>
  <si>
    <t>https://d1s5m21q2l18ke.cloudfront.net/VISION360/Vision360.html?d=h1lb7kjj227&amp;surl=https://d1s5m21q2l18ke.cloudfront.net/v360_mov_black/&amp;sv=1&amp;displayAllSideview=1&amp;MTA3OTY=</t>
  </si>
  <si>
    <t>https://d1s5m21q2l18ke.cloudfront.net/v360_mov/h1lb7kjj227.HTML?sv=1&amp;displayAllSideview=1&amp;MTA3OTY=</t>
  </si>
  <si>
    <t>https://d1s5m21q2l18ke.cloudfront.net/grey_mov_video/h1lb7kjj227.MP4?MTA3OTY=</t>
  </si>
  <si>
    <t>https://d1s5m21q2l18ke.cloudfront.net/plotting.html?h1lb7kjj227</t>
  </si>
  <si>
    <t>https://d1g2oudknjs8jf.cloudfront.net/prodpolweb/fl_img/h1lb7kjj227.PNG?MTA3OTY=</t>
  </si>
  <si>
    <t>https://dyffw9lb8wur6.cloudfront.net/v360videos/h1lb7kjj227.MP4?MTA3OTY=</t>
  </si>
  <si>
    <t>https://d1g2oudknjs8jf.cloudfront.net/prodpolweb/asetimage/h1lb7kjj227.JPG?MTA3OTY=</t>
  </si>
  <si>
    <t>Pinpoint, Needle</t>
  </si>
  <si>
    <t>11600</t>
  </si>
  <si>
    <t>15</t>
  </si>
  <si>
    <t>108590048</t>
  </si>
  <si>
    <t>572300</t>
  </si>
  <si>
    <t>9.27 x 6.43 x 4.05</t>
  </si>
  <si>
    <t>https://d1g2oudknjs8jf.cloudfront.net/prodpolweb/imgg_file/l10cb11lmj20.JPG?MTA3OTY=</t>
  </si>
  <si>
    <t>https://d1s5m21q2l18ke.cloudfront.net/VISION360/Vision360.html?d=l10cb11lmj20&amp;surl=https://d1s5m21q2l18ke.cloudfront.net/v360_mov_grey/&amp;sv=1&amp;displayAllSideview=1&amp;MTA3OTY=</t>
  </si>
  <si>
    <t>https://d1s5m21q2l18ke.cloudfront.net/VISION360/Vision360.html?d=l10cb11lmj20&amp;surl=https://d1s5m21q2l18ke.cloudfront.net/v360_mov_black/&amp;sv=1&amp;displayAllSideview=1&amp;MTA3OTY=</t>
  </si>
  <si>
    <t>https://d1s5m21q2l18ke.cloudfront.net/v360_mov/l10cb11lmj20.HTML?sv=1&amp;displayAllSideview=1&amp;MTA3OTY=</t>
  </si>
  <si>
    <t>https://d1s5m21q2l18ke.cloudfront.net/grey_mov_video/l10cb11lmj20.MP4?MTA3OTY=</t>
  </si>
  <si>
    <t>https://d1s5m21q2l18ke.cloudfront.net/plotting.html?l10cb11lmj20</t>
  </si>
  <si>
    <t>https://dyffw9lb8wur6.cloudfront.net/v360videos/l10cb11lmj20.MP4?MTA3OTY=</t>
  </si>
  <si>
    <t>https://d1g2oudknjs8jf.cloudfront.net/prodpolweb/asetimage/l10cb11lmj20.JPG?MTA3OTY=</t>
  </si>
  <si>
    <t>Additional clouds are not shown.</t>
  </si>
  <si>
    <t>16</t>
  </si>
  <si>
    <t>501250193</t>
  </si>
  <si>
    <t>621300</t>
  </si>
  <si>
    <t>9.98 x 6.41 x 3.70</t>
  </si>
  <si>
    <t>https://d1g2oudknjs8jf.cloudfront.net/prodpolweb/imgfiles/l9fb3phi021.JPG?MTA3OTY=</t>
  </si>
  <si>
    <t>https://d1s5m21q2l18ke.cloudfront.net/VISION360/Vision360.html?d=l9fb3phi021&amp;surl=https://d1s5m21q2l18ke.cloudfront.net/v360_mov_white/&amp;sv=1&amp;displayAllSideview=1&amp;MTA3OTY=</t>
  </si>
  <si>
    <t>https://d1s5m21q2l18ke.cloudfront.net/VISION360/Vision360.html?d=l9fb3phi021&amp;surl=https://d1s5m21q2l18ke.cloudfront.net/v360_mov_black/&amp;sv=1&amp;displayAllSideview=1&amp;MTA3OTY=</t>
  </si>
  <si>
    <t>https://d1s5m21q2l18ke.cloudfront.net/v360_mov/l9fb3phi021.HTML?sv=1&amp;displayAllSideview=1&amp;MTA3OTY=</t>
  </si>
  <si>
    <t>https://d1s5m21q2l18ke.cloudfront.net/white_mov_video/l9fb3phi021.MP4?MTA3OTY=</t>
  </si>
  <si>
    <t>https://d1s5m21q2l18ke.cloudfront.net/plotting.html?l9fb3phi021</t>
  </si>
  <si>
    <t>https://dyffw9lb8wur6.cloudfront.net/v360videos/l9fb3phi021.MP4?MTA3OTY=</t>
  </si>
  <si>
    <t>https://d1g2oudknjs8jf.cloudfront.net/prodpolweb/asetimage/l9fb3phi021.JPG?MTA3OTY=</t>
  </si>
  <si>
    <t>Needle, Feather, Pinpoint</t>
  </si>
  <si>
    <t>17</t>
  </si>
  <si>
    <t>105950091</t>
  </si>
  <si>
    <t>472900</t>
  </si>
  <si>
    <t>N2</t>
  </si>
  <si>
    <t>T3</t>
  </si>
  <si>
    <t>9.06 x 6.47 x 4.05</t>
  </si>
  <si>
    <t>C</t>
  </si>
  <si>
    <t>https://d1g2oudknjs8jf.cloudfront.net/prodpolweb/imgg_file/h9db3tgj23.JPG?MTA3OTY=</t>
  </si>
  <si>
    <t>https://d1s5m21q2l18ke.cloudfront.net/VISION360/Vision360.html?d=h9db3tgj23&amp;surl=https://d1s5m21q2l18ke.cloudfront.net/v360_mov_grey/&amp;sv=1&amp;displayAllSideview=1&amp;MTA3OTY=</t>
  </si>
  <si>
    <t>https://d1s5m21q2l18ke.cloudfront.net/VISION360/Vision360.html?d=h9db3tgj23&amp;surl=https://d1s5m21q2l18ke.cloudfront.net/v360_mov_black/&amp;sv=1&amp;displayAllSideview=1&amp;MTA3OTY=</t>
  </si>
  <si>
    <t>https://d1s5m21q2l18ke.cloudfront.net/v360_mov/h9db3tgj23.HTML?sv=1&amp;displayAllSideview=1&amp;MTA3OTY=</t>
  </si>
  <si>
    <t>https://d1s5m21q2l18ke.cloudfront.net/grey_mov_video/h9db3tgj23.MP4?MTA3OTY=</t>
  </si>
  <si>
    <t>https://d1s5m21q2l18ke.cloudfront.net/plotting.html?h9db3tgj23</t>
  </si>
  <si>
    <t>https://d1g2oudknjs8jf.cloudfront.net/prodpolweb/fl_img/h9db3tgj23.PNG?MTA3OTY=</t>
  </si>
  <si>
    <t>https://dyffw9lb8wur6.cloudfront.net/v360videos/h9db3tgj23.MP4?MTA3OTY=</t>
  </si>
  <si>
    <t>https://d1g2oudknjs8jf.cloudfront.net/prodpolweb/asetimage/h9db3tgj23.JPG?MTA3OTY=</t>
  </si>
  <si>
    <t>Needle, Feather, Cloud, Pinpoint</t>
  </si>
  <si>
    <t>18</t>
  </si>
  <si>
    <t>106600078</t>
  </si>
  <si>
    <t>521100</t>
  </si>
  <si>
    <t>VS1</t>
  </si>
  <si>
    <t>E0</t>
  </si>
  <si>
    <t>9.04 x 6.45 x 3.99</t>
  </si>
  <si>
    <t>S2</t>
  </si>
  <si>
    <t>https://d1g2oudknjs8jf.cloudfront.net/prodpolweb/imgg_file/l6db3mij27.JPG?MTA3OTY=</t>
  </si>
  <si>
    <t>https://d1s5m21q2l18ke.cloudfront.net/VISION360/Vision360.html?d=l6db3mij27&amp;surl=https://d1s5m21q2l18ke.cloudfront.net/v360_mov_grey/&amp;sv=1&amp;displayAllSideview=1&amp;MTA3OTY=</t>
  </si>
  <si>
    <t>https://d1s5m21q2l18ke.cloudfront.net/VISION360/Vision360.html?d=l6db3mij27&amp;surl=https://d1s5m21q2l18ke.cloudfront.net/v360_mov_black/&amp;sv=1&amp;displayAllSideview=1&amp;MTA3OTY=</t>
  </si>
  <si>
    <t>https://d1s5m21q2l18ke.cloudfront.net/v360_mov/l6db3mij27.HTML?sv=1&amp;displayAllSideview=1&amp;MTA3OTY=</t>
  </si>
  <si>
    <t>https://d1s5m21q2l18ke.cloudfront.net/grey_mov_video/l6db3mij27.MP4?MTA3OTY=</t>
  </si>
  <si>
    <t>https://d1s5m21q2l18ke.cloudfront.net/plotting.html?l6db3mij27</t>
  </si>
  <si>
    <t>https://dyffw9lb8wur6.cloudfront.net/v360videos/l6db3mij27.MP4?MTA3OTY=</t>
  </si>
  <si>
    <t>https://d1g2oudknjs8jf.cloudfront.net/prodpolweb/asetimage/l6db3mij27.JPG?MTA3OTY=</t>
  </si>
  <si>
    <t>Crystal, Feather, Needle, Indented Natural, Natural</t>
  </si>
  <si>
    <t>Pinpoints are not shown.</t>
  </si>
  <si>
    <t>19</t>
  </si>
  <si>
    <t>105330075</t>
  </si>
  <si>
    <t>517900</t>
  </si>
  <si>
    <t>T2</t>
  </si>
  <si>
    <t>8.83 x 6.34 x 4.05</t>
  </si>
  <si>
    <t>Y</t>
  </si>
  <si>
    <t>https://d1g2oudknjs8jf.cloudfront.net/prodpolweb/imgg_file/f6db9qfj21.JPG?MTA3OTY=</t>
  </si>
  <si>
    <t>https://d1s5m21q2l18ke.cloudfront.net/VISION360/Vision360.html?d=f6db9qfj21&amp;surl=https://d1s5m21q2l18ke.cloudfront.net/v360_mov_grey/&amp;sv=1&amp;displayAllSideview=1&amp;MTA3OTY=</t>
  </si>
  <si>
    <t>https://d1s5m21q2l18ke.cloudfront.net/VISION360/Vision360.html?d=f6db9qfj21&amp;surl=https://d1s5m21q2l18ke.cloudfront.net/v360_mov_black/&amp;sv=1&amp;displayAllSideview=1&amp;MTA3OTY=</t>
  </si>
  <si>
    <t>https://d1s5m21q2l18ke.cloudfront.net/v360_mov/f6db9qfj21.HTML?sv=1&amp;displayAllSideview=1&amp;MTA3OTY=</t>
  </si>
  <si>
    <t>https://d1s5m21q2l18ke.cloudfront.net/grey_mov_video/f6db9qfj21.MP4?MTA3OTY=</t>
  </si>
  <si>
    <t>https://d1s5m21q2l18ke.cloudfront.net/plotting.html?f6db9qfj21</t>
  </si>
  <si>
    <t>https://dyffw9lb8wur6.cloudfront.net/v360videos/f6db9qfj21.MP4?MTA3OTY=</t>
  </si>
  <si>
    <t>https://d1g2oudknjs8jf.cloudfront.net/prodpolweb/asetimage/f6db9qfj21.JPG?MTA3OTY=</t>
  </si>
  <si>
    <t>Pinpoint, Indented Natural, Natural</t>
  </si>
  <si>
    <t>Internal graining is not shown. Surface graining is not shown.</t>
  </si>
  <si>
    <t>20</t>
  </si>
  <si>
    <t>106710805</t>
  </si>
  <si>
    <t>580700</t>
  </si>
  <si>
    <t>9.40 x 6.62 x 4.00</t>
  </si>
  <si>
    <t>https://d1g2oudknjs8jf.cloudfront.net/prodpolweb/imgg_file/f2ic5oij26.JPG?MTA3OTY=</t>
  </si>
  <si>
    <t>https://d1s5m21q2l18ke.cloudfront.net/VISION360/Vision360.html?d=f2ic5oij26&amp;surl=https://d1s5m21q2l18ke.cloudfront.net/v360_mov_grey/&amp;sv=1&amp;displayAllSideview=1&amp;MTA3OTY=</t>
  </si>
  <si>
    <t>https://d1s5m21q2l18ke.cloudfront.net/VISION360/Vision360.html?d=f2ic5oij26&amp;surl=https://d1s5m21q2l18ke.cloudfront.net/v360_mov_black/&amp;sv=1&amp;displayAllSideview=1&amp;MTA3OTY=</t>
  </si>
  <si>
    <t>https://d1s5m21q2l18ke.cloudfront.net/v360_mov/f2ic5oij26.HTML?sv=1&amp;displayAllSideview=1&amp;MTA3OTY=</t>
  </si>
  <si>
    <t>https://d1s5m21q2l18ke.cloudfront.net/grey_mov_video/f2ic5oij26.MP4?MTA3OTY=</t>
  </si>
  <si>
    <t>https://d1s5m21q2l18ke.cloudfront.net/plotting.html?f2ic5oij26</t>
  </si>
  <si>
    <t>https://dyffw9lb8wur6.cloudfront.net/v360videos/f2ic5oij26.MP4?MTA3OTY=</t>
  </si>
  <si>
    <t>https://d1g2oudknjs8jf.cloudfront.net/prodpolweb/asetimage/f2ic5oij26.JPG?MTA3OTY=</t>
  </si>
  <si>
    <t>Pinpoint, Feather</t>
  </si>
  <si>
    <t>Internal graining is not shown.</t>
  </si>
  <si>
    <t>21</t>
  </si>
  <si>
    <t>107290195</t>
  </si>
  <si>
    <t>9.36 x 6.45 x 3.99</t>
  </si>
  <si>
    <t>https://d1g2oudknjs8jf.cloudfront.net/prodpolweb/imgg_file/f10fb11pjj23.JPG?MTA3OTY=</t>
  </si>
  <si>
    <t>https://d1s5m21q2l18ke.cloudfront.net/VISION360/Vision360.html?d=f10fb11pjj23&amp;surl=https://d1s5m21q2l18ke.cloudfront.net/v360_mov_grey/&amp;sv=1&amp;displayAllSideview=1&amp;MTA3OTY=</t>
  </si>
  <si>
    <t>https://d1s5m21q2l18ke.cloudfront.net/VISION360/Vision360.html?d=f10fb11pjj23&amp;surl=https://d1s5m21q2l18ke.cloudfront.net/v360_mov_black/&amp;sv=1&amp;displayAllSideview=1&amp;MTA3OTY=</t>
  </si>
  <si>
    <t>https://d1s5m21q2l18ke.cloudfront.net/v360_mov/f10fb11pjj23.HTML?sv=1&amp;displayAllSideview=1&amp;MTA3OTY=</t>
  </si>
  <si>
    <t>https://d1s5m21q2l18ke.cloudfront.net/grey_mov_video/f10fb11pjj23.MP4?MTA3OTY=</t>
  </si>
  <si>
    <t>https://d1s5m21q2l18ke.cloudfront.net/plotting.html?f10fb11pjj23</t>
  </si>
  <si>
    <t>https://dyffw9lb8wur6.cloudfront.net/v360videos/f10fb11pjj23.MP4?MTA3OTY=</t>
  </si>
  <si>
    <t>https://d1g2oudknjs8jf.cloudfront.net/prodpolweb/asetimage/f10fb11pjj23.JPG?MTA3OTY=</t>
  </si>
  <si>
    <t>Cloud, Needle, Pinpoint</t>
  </si>
  <si>
    <t>22</t>
  </si>
  <si>
    <t>107750515</t>
  </si>
  <si>
    <t>519700</t>
  </si>
  <si>
    <t>9.06 x 6.28 x 4.00</t>
  </si>
  <si>
    <t>https://d1g2oudknjs8jf.cloudfront.net/prodpolweb/imgg_file/f4cc3pkj20.JPG?MTA3OTY=</t>
  </si>
  <si>
    <t>https://d1s5m21q2l18ke.cloudfront.net/VISION360/Vision360.html?d=f4cc3pkj20&amp;surl=https://d1s5m21q2l18ke.cloudfront.net/v360_mov_grey/&amp;sv=1&amp;displayAllSideview=1&amp;MTA3OTY=</t>
  </si>
  <si>
    <t>https://d1s5m21q2l18ke.cloudfront.net/VISION360/Vision360.html?d=f4cc3pkj20&amp;surl=https://d1s5m21q2l18ke.cloudfront.net/v360_mov_black/&amp;sv=1&amp;displayAllSideview=1&amp;MTA3OTY=</t>
  </si>
  <si>
    <t>https://d1s5m21q2l18ke.cloudfront.net/v360_mov/f4cc3pkj20.HTML?sv=1&amp;displayAllSideview=1&amp;MTA3OTY=</t>
  </si>
  <si>
    <t>https://d1s5m21q2l18ke.cloudfront.net/grey_mov_video/f4cc3pkj20.MP4?MTA3OTY=</t>
  </si>
  <si>
    <t>https://d1s5m21q2l18ke.cloudfront.net/plotting.html?f4cc3pkj20</t>
  </si>
  <si>
    <t>https://dyffw9lb8wur6.cloudfront.net/v360videos/f4cc3pkj20.MP4?MTA3OTY=</t>
  </si>
  <si>
    <t>https://d1g2oudknjs8jf.cloudfront.net/prodpolweb/asetimage/f4cc3pkj20.JPG?MTA3OTY=</t>
  </si>
  <si>
    <t>23</t>
  </si>
  <si>
    <t>107290171</t>
  </si>
  <si>
    <t>536100</t>
  </si>
  <si>
    <t>9.04 x 6.27 x 3.97</t>
  </si>
  <si>
    <t>C2</t>
  </si>
  <si>
    <t>https://d1g2oudknjs8jf.cloudfront.net/prodpolweb/imgg_file/h5fb11pjj29.JPG?MTA3OTY=</t>
  </si>
  <si>
    <t>https://d1s5m21q2l18ke.cloudfront.net/VISION360/Vision360.html?d=h5fb11pjj29&amp;surl=https://d1s5m21q2l18ke.cloudfront.net/v360_mov_grey/&amp;sv=1&amp;displayAllSideview=1&amp;MTA3OTY=</t>
  </si>
  <si>
    <t>https://d1s5m21q2l18ke.cloudfront.net/VISION360/Vision360.html?d=h5fb11pjj29&amp;surl=https://d1s5m21q2l18ke.cloudfront.net/v360_mov_black/&amp;sv=1&amp;displayAllSideview=1&amp;MTA3OTY=</t>
  </si>
  <si>
    <t>https://d1s5m21q2l18ke.cloudfront.net/v360_mov/h5fb11pjj29.HTML?sv=1&amp;displayAllSideview=1&amp;MTA3OTY=</t>
  </si>
  <si>
    <t>https://d1s5m21q2l18ke.cloudfront.net/grey_mov_video/h5fb11pjj29.MP4?MTA3OTY=</t>
  </si>
  <si>
    <t>https://d1s5m21q2l18ke.cloudfront.net/plotting.html?h5fb11pjj29</t>
  </si>
  <si>
    <t>https://dyffw9lb8wur6.cloudfront.net/v360videos/h5fb11pjj29.MP4?MTA3OTY=</t>
  </si>
  <si>
    <t>https://d1g2oudknjs8jf.cloudfront.net/prodpolweb/asetimage/h5fb11pjj29.JPG?MTA3OTY=</t>
  </si>
  <si>
    <t>Feather, Pinpoint</t>
  </si>
  <si>
    <t>10200</t>
  </si>
  <si>
    <t>24</t>
  </si>
  <si>
    <t>105570038</t>
  </si>
  <si>
    <t>513500</t>
  </si>
  <si>
    <t>8.91 x 6.41 x 4.08</t>
  </si>
  <si>
    <t>https://d1g2oudknjs8jf.cloudfront.net/prodpolweb/imgg_file/l8cb7lgj20.JPG?MTA3OTY=</t>
  </si>
  <si>
    <t>https://d1s5m21q2l18ke.cloudfront.net/VISION360/Vision360.html?d=l8cb7lgj20&amp;surl=https://d1s5m21q2l18ke.cloudfront.net/v360_mov_grey/&amp;sv=1&amp;displayAllSideview=1&amp;MTA3OTY=</t>
  </si>
  <si>
    <t>https://d1s5m21q2l18ke.cloudfront.net/VISION360/Vision360.html?d=l8cb7lgj20&amp;surl=https://d1s5m21q2l18ke.cloudfront.net/v360_mov_black/&amp;sv=1&amp;displayAllSideview=1&amp;MTA3OTY=</t>
  </si>
  <si>
    <t>https://d1s5m21q2l18ke.cloudfront.net/v360_mov/l8cb7lgj20.HTML?sv=1&amp;displayAllSideview=1&amp;MTA3OTY=</t>
  </si>
  <si>
    <t>https://d1s5m21q2l18ke.cloudfront.net/grey_mov_video/l8cb7lgj20.MP4?MTA3OTY=</t>
  </si>
  <si>
    <t>https://d1s5m21q2l18ke.cloudfront.net/plotting.html?l8cb7lgj20</t>
  </si>
  <si>
    <t>https://dyffw9lb8wur6.cloudfront.net/v360videos/l8cb7lgj20.MP4?MTA3OTY=</t>
  </si>
  <si>
    <t>https://d1g2oudknjs8jf.cloudfront.net/prodpolweb/asetimage/l8cb7lgj20.JPG?MTA3OTY=</t>
  </si>
  <si>
    <t>Needle, Cloud, Indented Natural, Natural</t>
  </si>
  <si>
    <t>Additional clouds are not shown. Surface graining is not shown.</t>
  </si>
  <si>
    <t>25</t>
  </si>
  <si>
    <t>105420059</t>
  </si>
  <si>
    <t>340400</t>
  </si>
  <si>
    <t>8.69 x 6.29 x 4.08</t>
  </si>
  <si>
    <t>https://d1g2oudknjs8jf.cloudfront.net/prodpolweb/imgg_file/n2db7sfj29.JPG?MTA3OTY=</t>
  </si>
  <si>
    <t>https://d1s5m21q2l18ke.cloudfront.net/VISION360/Vision360.html?d=n2db7sfj29&amp;surl=https://d1s5m21q2l18ke.cloudfront.net/v360_mov_grey/&amp;sv=1&amp;displayAllSideview=1&amp;MTA3OTY=</t>
  </si>
  <si>
    <t>https://d1s5m21q2l18ke.cloudfront.net/VISION360/Vision360.html?d=n2db7sfj29&amp;surl=https://d1s5m21q2l18ke.cloudfront.net/v360_mov_black/&amp;sv=1&amp;displayAllSideview=1&amp;MTA3OTY=</t>
  </si>
  <si>
    <t>https://d1s5m21q2l18ke.cloudfront.net/v360_mov/n2db7sfj29.HTML?sv=1&amp;displayAllSideview=1&amp;MTA3OTY=</t>
  </si>
  <si>
    <t>https://d1s5m21q2l18ke.cloudfront.net/grey_mov_video/n2db7sfj29.MP4?MTA3OTY=</t>
  </si>
  <si>
    <t>https://d1s5m21q2l18ke.cloudfront.net/plotting.html?n2db7sfj29</t>
  </si>
  <si>
    <t>https://d1g2oudknjs8jf.cloudfront.net/prodpolweb/fl_img/n2db7sfj29.JPG?MTA3OTY=</t>
  </si>
  <si>
    <t>https://dyffw9lb8wur6.cloudfront.net/v360videos/n2db7sfj29.MP4?MTA3OTY=</t>
  </si>
  <si>
    <t>https://d1g2oudknjs8jf.cloudfront.net/prodpolweb/asetimage/n2db7sfj29.JPG?MTA3OTY=</t>
  </si>
  <si>
    <t>Needle</t>
  </si>
  <si>
    <t>26</t>
  </si>
  <si>
    <t>107070133</t>
  </si>
  <si>
    <t>502400</t>
  </si>
  <si>
    <t>9.34 x 6.40 x 3.94</t>
  </si>
  <si>
    <t>https://d1g2oudknjs8jf.cloudfront.net/prodpolweb/imgg_file/l7eb7ljj214.JPG?MTA3OTY=</t>
  </si>
  <si>
    <t>https://d1s5m21q2l18ke.cloudfront.net/VISION360/Vision360.html?d=l7eb7ljj214&amp;surl=https://d1s5m21q2l18ke.cloudfront.net/v360_mov_grey/&amp;sv=1&amp;displayAllSideview=1&amp;MTA3OTY=</t>
  </si>
  <si>
    <t>https://d1s5m21q2l18ke.cloudfront.net/VISION360/Vision360.html?d=l7eb7ljj214&amp;surl=https://d1s5m21q2l18ke.cloudfront.net/v360_mov_black/&amp;sv=1&amp;displayAllSideview=1&amp;MTA3OTY=</t>
  </si>
  <si>
    <t>https://d1s5m21q2l18ke.cloudfront.net/v360_mov/l7eb7ljj214.HTML?sv=1&amp;displayAllSideview=1&amp;MTA3OTY=</t>
  </si>
  <si>
    <t>https://d1s5m21q2l18ke.cloudfront.net/grey_mov_video/l7eb7ljj214.MP4?MTA3OTY=</t>
  </si>
  <si>
    <t>https://d1s5m21q2l18ke.cloudfront.net/plotting.html?l7eb7ljj214</t>
  </si>
  <si>
    <t>https://dyffw9lb8wur6.cloudfront.net/v360videos/l7eb7ljj214.MP4?MTA3OTY=</t>
  </si>
  <si>
    <t>https://d1g2oudknjs8jf.cloudfront.net/prodpolweb/asetimage/l7eb7ljj214.JPG?MTA3OTY=</t>
  </si>
  <si>
    <t>10000</t>
  </si>
  <si>
    <t>27</t>
  </si>
  <si>
    <t>108110496</t>
  </si>
  <si>
    <t>532500</t>
  </si>
  <si>
    <t>9.44 x 6.22 x 3.89</t>
  </si>
  <si>
    <t>https://d1g2oudknjs8jf.cloudfront.net/prodpolweb/imgg_file/h10lb5mlj227.JPG?MTA3OTY=</t>
  </si>
  <si>
    <t>https://d1s5m21q2l18ke.cloudfront.net/VISION360/Vision360.html?d=h10lb5mlj227&amp;surl=https://d1s5m21q2l18ke.cloudfront.net/v360_mov_grey/&amp;sv=1&amp;displayAllSideview=1&amp;MTA3OTY=</t>
  </si>
  <si>
    <t>https://d1s5m21q2l18ke.cloudfront.net/VISION360/Vision360.html?d=h10lb5mlj227&amp;surl=https://d1s5m21q2l18ke.cloudfront.net/v360_mov_black/&amp;sv=1&amp;displayAllSideview=1&amp;MTA3OTY=</t>
  </si>
  <si>
    <t>https://d1s5m21q2l18ke.cloudfront.net/v360_mov/h10lb5mlj227.HTML?sv=1&amp;displayAllSideview=1&amp;MTA3OTY=</t>
  </si>
  <si>
    <t>https://d1s5m21q2l18ke.cloudfront.net/grey_mov_video/h10lb5mlj227.MP4?MTA3OTY=</t>
  </si>
  <si>
    <t>https://d1s5m21q2l18ke.cloudfront.net/plotting.html?h10lb5mlj227</t>
  </si>
  <si>
    <t>https://dyffw9lb8wur6.cloudfront.net/v360videos/h10lb5mlj227.MP4?MTA3OTY=</t>
  </si>
  <si>
    <t>https://d1g2oudknjs8jf.cloudfront.net/prodpolweb/asetimage/h10lb5mlj227.JPG?MTA3OTY=</t>
  </si>
  <si>
    <t>An additional pinpoint is not shown.</t>
  </si>
  <si>
    <t>28</t>
  </si>
  <si>
    <t>501160236</t>
  </si>
  <si>
    <t>New York</t>
  </si>
  <si>
    <t>613100</t>
  </si>
  <si>
    <t>9.22 x 6.35 x 3.97</t>
  </si>
  <si>
    <t>https://d1g2oudknjs8jf.cloudfront.net/prodpolweb/imgfiles/h8gb5nhi012.JPG?MTA3OTY=</t>
  </si>
  <si>
    <t>https://d1s5m21q2l18ke.cloudfront.net/VISION360/Vision360.html?d=h8gb5nhi012&amp;surl=https://d1s5m21q2l18ke.cloudfront.net/v360_mov_white/&amp;sv=1&amp;displayAllSideview=1&amp;MTA3OTY=</t>
  </si>
  <si>
    <t>https://d1s5m21q2l18ke.cloudfront.net/VISION360/Vision360.html?d=h8gb5nhi012&amp;surl=https://d1s5m21q2l18ke.cloudfront.net/v360_mov_black/&amp;sv=1&amp;displayAllSideview=1&amp;MTA3OTY=</t>
  </si>
  <si>
    <t>https://d1s5m21q2l18ke.cloudfront.net/v360_mov/h8gb5nhi012.HTML?sv=1&amp;displayAllSideview=1&amp;MTA3OTY=</t>
  </si>
  <si>
    <t>https://d1s5m21q2l18ke.cloudfront.net/white_mov_video/h8gb5nhi012.MP4?MTA3OTY=</t>
  </si>
  <si>
    <t>https://d1s5m21q2l18ke.cloudfront.net/plotting.html?h8gb5nhi012</t>
  </si>
  <si>
    <t>https://dyffw9lb8wur6.cloudfront.net/v360videos/h8gb5nhi012.MP4?MTA3OTY=</t>
  </si>
  <si>
    <t>https://d1g2oudknjs8jf.cloudfront.net/prodpolweb/asetimage/h8gb5nhi012.JPG?MTA3OTY=</t>
  </si>
  <si>
    <t>Cloud, Pinpoint</t>
  </si>
  <si>
    <t>29</t>
  </si>
  <si>
    <t>106151351</t>
  </si>
  <si>
    <t>476500</t>
  </si>
  <si>
    <t>8.85 x 6.32 x 3.96</t>
  </si>
  <si>
    <t>https://d1g2oudknjs8jf.cloudfront.net/prodpolweb/imgg_file/h1jd3nhj221.JPG?MTA3OTY=</t>
  </si>
  <si>
    <t>https://d1s5m21q2l18ke.cloudfront.net/VISION360/Vision360.html?d=h1jd3nhj221&amp;surl=https://d1s5m21q2l18ke.cloudfront.net/v360_mov_grey/&amp;sv=1&amp;displayAllSideview=1&amp;MTA3OTY=</t>
  </si>
  <si>
    <t>https://d1s5m21q2l18ke.cloudfront.net/VISION360/Vision360.html?d=h1jd3nhj221&amp;surl=https://d1s5m21q2l18ke.cloudfront.net/v360_mov_black/&amp;sv=1&amp;displayAllSideview=1&amp;MTA3OTY=</t>
  </si>
  <si>
    <t>https://d1s5m21q2l18ke.cloudfront.net/v360_mov/h1jd3nhj221.HTML?sv=1&amp;displayAllSideview=1&amp;MTA3OTY=</t>
  </si>
  <si>
    <t>https://d1s5m21q2l18ke.cloudfront.net/grey_mov_video/h1jd3nhj221.MP4?MTA3OTY=</t>
  </si>
  <si>
    <t>https://d1s5m21q2l18ke.cloudfront.net/plotting.html?h1jd3nhj221</t>
  </si>
  <si>
    <t>https://dyffw9lb8wur6.cloudfront.net/v360videos/h1jd3nhj221.MP4?MTA3OTY=</t>
  </si>
  <si>
    <t>https://d1g2oudknjs8jf.cloudfront.net/prodpolweb/asetimage/h1jd3nhj221.JPG?MTA3OTY=</t>
  </si>
  <si>
    <t>30</t>
  </si>
  <si>
    <t>107300285</t>
  </si>
  <si>
    <t>485600</t>
  </si>
  <si>
    <t>9.04 x 6.27 x 4.01</t>
  </si>
  <si>
    <t>https://d1g2oudknjs8jf.cloudfront.net/prodpolweb/imgg_file/f8hb3qjj25.JPG?MTA3OTY=</t>
  </si>
  <si>
    <t>https://d1s5m21q2l18ke.cloudfront.net/VISION360/Vision360.html?d=f8hb3qjj25&amp;surl=https://d1s5m21q2l18ke.cloudfront.net/v360_mov_grey/&amp;sv=1&amp;displayAllSideview=1&amp;MTA3OTY=</t>
  </si>
  <si>
    <t>https://d1s5m21q2l18ke.cloudfront.net/VISION360/Vision360.html?d=f8hb3qjj25&amp;surl=https://d1s5m21q2l18ke.cloudfront.net/v360_mov_black/&amp;sv=1&amp;displayAllSideview=1&amp;MTA3OTY=</t>
  </si>
  <si>
    <t>https://d1s5m21q2l18ke.cloudfront.net/v360_mov/f8hb3qjj25.HTML?sv=1&amp;displayAllSideview=1&amp;MTA3OTY=</t>
  </si>
  <si>
    <t>https://d1s5m21q2l18ke.cloudfront.net/grey_mov_video/f8hb3qjj25.MP4?MTA3OTY=</t>
  </si>
  <si>
    <t>https://d1s5m21q2l18ke.cloudfront.net/plotting.html?f8hb3qjj25</t>
  </si>
  <si>
    <t>https://dyffw9lb8wur6.cloudfront.net/v360videos/f8hb3qjj25.MP4?MTA3OTY=</t>
  </si>
  <si>
    <t>https://d1g2oudknjs8jf.cloudfront.net/prodpolweb/asetimage/f8hb3qjj25.JPG?MTA3OTY=</t>
  </si>
  <si>
    <t>Surface graining is not shown.</t>
  </si>
  <si>
    <t>31</t>
  </si>
  <si>
    <t>107540119</t>
  </si>
  <si>
    <t>497900</t>
  </si>
  <si>
    <t>9.55 x 6.27 x 3.78</t>
  </si>
  <si>
    <t>https://d1g2oudknjs8jf.cloudfront.net/prodpolweb/imgg_file/n4eb11kkj218.JPG?MTA3OTY=</t>
  </si>
  <si>
    <t>https://d1s5m21q2l18ke.cloudfront.net/VISION360/Vision360.html?d=n4eb11kkj218&amp;surl=https://d1s5m21q2l18ke.cloudfront.net/v360_mov_grey/&amp;sv=1&amp;displayAllSideview=1&amp;MTA3OTY=</t>
  </si>
  <si>
    <t>https://d1s5m21q2l18ke.cloudfront.net/VISION360/Vision360.html?d=n4eb11kkj218&amp;surl=https://d1s5m21q2l18ke.cloudfront.net/v360_mov_black/&amp;sv=1&amp;displayAllSideview=1&amp;MTA3OTY=</t>
  </si>
  <si>
    <t>https://d1s5m21q2l18ke.cloudfront.net/v360_mov/n4eb11kkj218.HTML?sv=1&amp;displayAllSideview=1&amp;MTA3OTY=</t>
  </si>
  <si>
    <t>https://d1s5m21q2l18ke.cloudfront.net/grey_mov_video/n4eb11kkj218.MP4?MTA3OTY=</t>
  </si>
  <si>
    <t>https://d1s5m21q2l18ke.cloudfront.net/plotting.html?n4eb11kkj218</t>
  </si>
  <si>
    <t>https://dyffw9lb8wur6.cloudfront.net/v360videos/n4eb11kkj218.MP4?MTA3OTY=</t>
  </si>
  <si>
    <t>https://d1g2oudknjs8jf.cloudfront.net/prodpolweb/asetimage/n4eb11kkj218.JPG?MTA3OTY=</t>
  </si>
  <si>
    <t>32</t>
  </si>
  <si>
    <t>106470181</t>
  </si>
  <si>
    <t>504700</t>
  </si>
  <si>
    <t>9.26 x 6.42 x 3.95</t>
  </si>
  <si>
    <t>https://d1g2oudknjs8jf.cloudfront.net/prodpolweb/imgg_file/h7fb7thj29.JPG?MTA3OTY=</t>
  </si>
  <si>
    <t>https://d1s5m21q2l18ke.cloudfront.net/VISION360/Vision360.html?d=h7fb7thj29&amp;surl=https://d1s5m21q2l18ke.cloudfront.net/v360_mov_grey/&amp;sv=1&amp;displayAllSideview=1&amp;MTA3OTY=</t>
  </si>
  <si>
    <t>https://d1s5m21q2l18ke.cloudfront.net/VISION360/Vision360.html?d=h7fb7thj29&amp;surl=https://d1s5m21q2l18ke.cloudfront.net/v360_mov_black/&amp;sv=1&amp;displayAllSideview=1&amp;MTA3OTY=</t>
  </si>
  <si>
    <t>https://d1s5m21q2l18ke.cloudfront.net/v360_mov/h7fb7thj29.HTML?sv=1&amp;displayAllSideview=1&amp;MTA3OTY=</t>
  </si>
  <si>
    <t>https://d1s5m21q2l18ke.cloudfront.net/grey_mov_video/h7fb7thj29.MP4?MTA3OTY=</t>
  </si>
  <si>
    <t>https://d1s5m21q2l18ke.cloudfront.net/plotting.html?h7fb7thj29</t>
  </si>
  <si>
    <t>https://dyffw9lb8wur6.cloudfront.net/v360videos/h7fb7thj29.MP4?MTA3OTY=</t>
  </si>
  <si>
    <t>https://d1g2oudknjs8jf.cloudfront.net/prodpolweb/asetimage/h7fb7thj29.JPG?MTA3OTY=</t>
  </si>
  <si>
    <t>33</t>
  </si>
  <si>
    <t>107760473</t>
  </si>
  <si>
    <t>509300</t>
  </si>
  <si>
    <t>9.05 x 6.28 x 4.01</t>
  </si>
  <si>
    <t>MD</t>
  </si>
  <si>
    <t>https://d1g2oudknjs8jf.cloudfront.net/prodpolweb/imgg_file/l5lb5pkj263.JPG?MTA3OTY=</t>
  </si>
  <si>
    <t>https://d1s5m21q2l18ke.cloudfront.net/VISION360/Vision360.html?d=l5lb5pkj263&amp;surl=https://d1s5m21q2l18ke.cloudfront.net/v360_mov_grey/&amp;sv=1&amp;displayAllSideview=1&amp;MTA3OTY=</t>
  </si>
  <si>
    <t>https://d1s5m21q2l18ke.cloudfront.net/VISION360/Vision360.html?d=l5lb5pkj263&amp;surl=https://d1s5m21q2l18ke.cloudfront.net/v360_mov_black/&amp;sv=1&amp;displayAllSideview=1&amp;MTA3OTY=</t>
  </si>
  <si>
    <t>https://d1s5m21q2l18ke.cloudfront.net/v360_mov/l5lb5pkj263.HTML?sv=1&amp;displayAllSideview=1&amp;MTA3OTY=</t>
  </si>
  <si>
    <t>https://d1s5m21q2l18ke.cloudfront.net/grey_mov_video/l5lb5pkj263.MP4?MTA3OTY=</t>
  </si>
  <si>
    <t>https://d1s5m21q2l18ke.cloudfront.net/plotting.html?l5lb5pkj263</t>
  </si>
  <si>
    <t>https://dyffw9lb8wur6.cloudfront.net/v360videos/l5lb5pkj263.MP4?MTA3OTY=</t>
  </si>
  <si>
    <t>https://d1g2oudknjs8jf.cloudfront.net/prodpolweb/asetimage/l5lb5pkj263.JPG?MTA3OTY=</t>
  </si>
  <si>
    <t>Feather, Indented Natural</t>
  </si>
  <si>
    <t>34</t>
  </si>
  <si>
    <t>107300358</t>
  </si>
  <si>
    <t>488300</t>
  </si>
  <si>
    <t>https://d1g2oudknjs8jf.cloudfront.net/prodpolweb/imgg_file/l2jb3qjj249.JPG?MTA3OTY=</t>
  </si>
  <si>
    <t>https://d1s5m21q2l18ke.cloudfront.net/VISION360/Vision360.html?d=l2jb3qjj249&amp;surl=https://d1s5m21q2l18ke.cloudfront.net/v360_mov_grey/&amp;sv=1&amp;displayAllSideview=1&amp;MTA3OTY=</t>
  </si>
  <si>
    <t>https://d1s5m21q2l18ke.cloudfront.net/VISION360/Vision360.html?d=l2jb3qjj249&amp;surl=https://d1s5m21q2l18ke.cloudfront.net/v360_mov_black/&amp;sv=1&amp;displayAllSideview=1&amp;MTA3OTY=</t>
  </si>
  <si>
    <t>https://d1s5m21q2l18ke.cloudfront.net/v360_mov/l2jb3qjj249.HTML?sv=1&amp;displayAllSideview=1&amp;MTA3OTY=</t>
  </si>
  <si>
    <t>https://d1s5m21q2l18ke.cloudfront.net/grey_mov_video/l2jb3qjj249.MP4?MTA3OTY=</t>
  </si>
  <si>
    <t>https://d1s5m21q2l18ke.cloudfront.net/plotting.html?l2jb3qjj249</t>
  </si>
  <si>
    <t>https://dyffw9lb8wur6.cloudfront.net/v360videos/l2jb3qjj249.MP4?MTA3OTY=</t>
  </si>
  <si>
    <t>https://d1g2oudknjs8jf.cloudfront.net/prodpolweb/asetimage/l2jb3qjj249.JPG?MTA3OTY=</t>
  </si>
  <si>
    <t>Cloud, Feather, Needle</t>
  </si>
  <si>
    <t>Additional clouds are not shown. Pinpoints are not shown.</t>
  </si>
  <si>
    <t>9300</t>
  </si>
  <si>
    <t>35</t>
  </si>
  <si>
    <t>501250199</t>
  </si>
  <si>
    <t>558200</t>
  </si>
  <si>
    <t>9.35 x 6.54 x 4.27</t>
  </si>
  <si>
    <t>https://d1g2oudknjs8jf.cloudfront.net/prodpolweb/imgfiles/n10fb3phi027.JPG?MTA3OTY=</t>
  </si>
  <si>
    <t>https://d1s5m21q2l18ke.cloudfront.net/VISION360/Vision360.html?d=n10fb3phi027&amp;surl=https://d1s5m21q2l18ke.cloudfront.net/v360_mov_white/&amp;sv=1&amp;displayAllSideview=1&amp;MTA3OTY=</t>
  </si>
  <si>
    <t>https://d1s5m21q2l18ke.cloudfront.net/VISION360/Vision360.html?d=n10fb3phi027&amp;surl=https://d1s5m21q2l18ke.cloudfront.net/v360_mov_black/&amp;sv=1&amp;displayAllSideview=1&amp;MTA3OTY=</t>
  </si>
  <si>
    <t>https://d1s5m21q2l18ke.cloudfront.net/v360_mov/n10fb3phi027.HTML?sv=1&amp;displayAllSideview=1&amp;MTA3OTY=</t>
  </si>
  <si>
    <t>https://d1s5m21q2l18ke.cloudfront.net/white_mov_video/n10fb3phi027.MP4?MTA3OTY=</t>
  </si>
  <si>
    <t>https://d1s5m21q2l18ke.cloudfront.net/plotting.html?n10fb3phi027</t>
  </si>
  <si>
    <t>https://dyffw9lb8wur6.cloudfront.net/v360videos/n10fb3phi027.MP4?MTA3OTY=</t>
  </si>
  <si>
    <t>https://d1g2oudknjs8jf.cloudfront.net/prodpolweb/asetimage/n10fb3phi027.JPG?MTA3OTY=</t>
  </si>
  <si>
    <t>Needle, Cloud, Pinpoint, Natural</t>
  </si>
  <si>
    <t>36</t>
  </si>
  <si>
    <t>107160460</t>
  </si>
  <si>
    <t>480100</t>
  </si>
  <si>
    <t>9.11 x 6.55 x 4.19</t>
  </si>
  <si>
    <t>https://d1g2oudknjs8jf.cloudfront.net/prodpolweb/imgg_file/f3lb5njj29.JPG?MTA3OTY=</t>
  </si>
  <si>
    <t>https://d1s5m21q2l18ke.cloudfront.net/VISION360/Vision360.html?d=f3lb5njj29&amp;surl=https://d1s5m21q2l18ke.cloudfront.net/v360_mov_grey/&amp;sv=1&amp;displayAllSideview=1&amp;MTA3OTY=</t>
  </si>
  <si>
    <t>https://d1s5m21q2l18ke.cloudfront.net/VISION360/Vision360.html?d=f3lb5njj29&amp;surl=https://d1s5m21q2l18ke.cloudfront.net/v360_mov_black/&amp;sv=1&amp;displayAllSideview=1&amp;MTA3OTY=</t>
  </si>
  <si>
    <t>https://d1s5m21q2l18ke.cloudfront.net/v360_mov/f3lb5njj29.HTML?sv=1&amp;displayAllSideview=1&amp;MTA3OTY=</t>
  </si>
  <si>
    <t>https://d1s5m21q2l18ke.cloudfront.net/grey_mov_video/f3lb5njj29.MP4?MTA3OTY=</t>
  </si>
  <si>
    <t>https://d1s5m21q2l18ke.cloudfront.net/plotting.html?f3lb5njj29</t>
  </si>
  <si>
    <t>https://d1g2oudknjs8jf.cloudfront.net/prodpolweb/fl_img/f3lb5njj29.PNG?MTA3OTY=</t>
  </si>
  <si>
    <t>https://dyffw9lb8wur6.cloudfront.net/v360videos/f3lb5njj29.MP4?MTA3OTY=</t>
  </si>
  <si>
    <t>https://d1g2oudknjs8jf.cloudfront.net/prodpolweb/asetimage/f3lb5njj29.JPG?MTA3OTY=</t>
  </si>
  <si>
    <t>Cloud, Crystal, Feather, Needle</t>
  </si>
  <si>
    <t>37</t>
  </si>
  <si>
    <t>106000218</t>
  </si>
  <si>
    <t>498300</t>
  </si>
  <si>
    <t>9.13 x 6.33 x 3.96</t>
  </si>
  <si>
    <t>https://d1g2oudknjs8jf.cloudfront.net/prodpolweb/imgg_file/l4gb3khj228.JPG?MTA3OTY=</t>
  </si>
  <si>
    <t>https://d1s5m21q2l18ke.cloudfront.net/VISION360/Vision360.html?d=l4gb3khj228&amp;surl=https://d1s5m21q2l18ke.cloudfront.net/v360_mov_grey/&amp;sv=1&amp;displayAllSideview=1&amp;MTA3OTY=</t>
  </si>
  <si>
    <t>https://d1s5m21q2l18ke.cloudfront.net/VISION360/Vision360.html?d=l4gb3khj228&amp;surl=https://d1s5m21q2l18ke.cloudfront.net/v360_mov_black/&amp;sv=1&amp;displayAllSideview=1&amp;MTA3OTY=</t>
  </si>
  <si>
    <t>https://d1s5m21q2l18ke.cloudfront.net/v360_mov/l4gb3khj228.HTML?sv=1&amp;displayAllSideview=1&amp;MTA3OTY=</t>
  </si>
  <si>
    <t>https://d1s5m21q2l18ke.cloudfront.net/grey_mov_video/l4gb3khj228.MP4?MTA3OTY=</t>
  </si>
  <si>
    <t>https://d1s5m21q2l18ke.cloudfront.net/plotting.html?l4gb3khj228</t>
  </si>
  <si>
    <t>https://dyffw9lb8wur6.cloudfront.net/v360videos/l4gb3khj228.MP4?MTA3OTY=</t>
  </si>
  <si>
    <t>https://d1g2oudknjs8jf.cloudfront.net/prodpolweb/asetimage/l4gb3khj228.JPG?MTA3OTY=</t>
  </si>
  <si>
    <t>Crystal, Cloud, Feather, Pinpoint, Indented Natural, Natural</t>
  </si>
  <si>
    <t>Additional pinpoints are not shown. Additional clouds are not shown.</t>
  </si>
  <si>
    <t>38</t>
  </si>
  <si>
    <t>108110137</t>
  </si>
  <si>
    <t>503300</t>
  </si>
  <si>
    <t>VS2</t>
  </si>
  <si>
    <t>9.06 x 6.28 x 3.97</t>
  </si>
  <si>
    <t>C1</t>
  </si>
  <si>
    <t>https://d1g2oudknjs8jf.cloudfront.net/prodpolweb/imgg_file/j8eb5mlj210.JPG?MTA3OTY=</t>
  </si>
  <si>
    <t>https://d1s5m21q2l18ke.cloudfront.net/VISION360/Vision360.html?d=j8eb5mlj210&amp;surl=https://d1s5m21q2l18ke.cloudfront.net/v360_mov_grey/&amp;sv=1&amp;displayAllSideview=1&amp;MTA3OTY=</t>
  </si>
  <si>
    <t>https://d1s5m21q2l18ke.cloudfront.net/VISION360/Vision360.html?d=j8eb5mlj210&amp;surl=https://d1s5m21q2l18ke.cloudfront.net/v360_mov_black/&amp;sv=1&amp;displayAllSideview=1&amp;MTA3OTY=</t>
  </si>
  <si>
    <t>https://d1s5m21q2l18ke.cloudfront.net/v360_mov/j8eb5mlj210.HTML?sv=1&amp;displayAllSideview=1&amp;MTA3OTY=</t>
  </si>
  <si>
    <t>https://d1s5m21q2l18ke.cloudfront.net/grey_mov_video/j8eb5mlj210.MP4?MTA3OTY=</t>
  </si>
  <si>
    <t>https://d1s5m21q2l18ke.cloudfront.net/plotting.html?j8eb5mlj210</t>
  </si>
  <si>
    <t>https://dyffw9lb8wur6.cloudfront.net/v360videos/j8eb5mlj210.MP4?MTA3OTY=</t>
  </si>
  <si>
    <t>https://d1g2oudknjs8jf.cloudfront.net/prodpolweb/asetimage/j8eb5mlj210.JPG?MTA3OTY=</t>
  </si>
  <si>
    <t>Cloud, Needle, Feather</t>
  </si>
  <si>
    <t>Additional clouds, pinpoints and internal graining are not shown.</t>
  </si>
  <si>
    <t>39</t>
  </si>
  <si>
    <t>107760633</t>
  </si>
  <si>
    <t>8.93 x 6.38 x 4.04</t>
  </si>
  <si>
    <t>S1</t>
  </si>
  <si>
    <t>https://d1g2oudknjs8jf.cloudfront.net/prodpolweb/imgg_file/l7ec5pkj214.JPG?MTA3OTY=</t>
  </si>
  <si>
    <t>https://d1s5m21q2l18ke.cloudfront.net/VISION360/Vision360.html?d=l7ec5pkj214&amp;surl=https://d1s5m21q2l18ke.cloudfront.net/v360_mov_grey/&amp;sv=1&amp;displayAllSideview=1&amp;MTA3OTY=</t>
  </si>
  <si>
    <t>https://d1s5m21q2l18ke.cloudfront.net/VISION360/Vision360.html?d=l7ec5pkj214&amp;surl=https://d1s5m21q2l18ke.cloudfront.net/v360_mov_black/&amp;sv=1&amp;displayAllSideview=1&amp;MTA3OTY=</t>
  </si>
  <si>
    <t>https://d1s5m21q2l18ke.cloudfront.net/v360_mov/l7ec5pkj214.HTML?sv=1&amp;displayAllSideview=1&amp;MTA3OTY=</t>
  </si>
  <si>
    <t>https://d1s5m21q2l18ke.cloudfront.net/grey_mov_video/l7ec5pkj214.MP4?MTA3OTY=</t>
  </si>
  <si>
    <t>https://d1s5m21q2l18ke.cloudfront.net/plotting.html?l7ec5pkj214</t>
  </si>
  <si>
    <t>https://dyffw9lb8wur6.cloudfront.net/v360videos/l7ec5pkj214.MP4?MTA3OTY=</t>
  </si>
  <si>
    <t>https://d1g2oudknjs8jf.cloudfront.net/prodpolweb/asetimage/l7ec5pkj214.JPG?MTA3OTY=</t>
  </si>
  <si>
    <t>Crystal, Cloud, Feather, Needle, Indented Natural</t>
  </si>
  <si>
    <t>40</t>
  </si>
  <si>
    <t>106670157</t>
  </si>
  <si>
    <t>470600</t>
  </si>
  <si>
    <t>8.82 x 6.11 x 3.98</t>
  </si>
  <si>
    <t>https://d1g2oudknjs8jf.cloudfront.net/prodpolweb/imgg_file/j2fb7nij215.JPG?MTA3OTY=</t>
  </si>
  <si>
    <t>https://d1s5m21q2l18ke.cloudfront.net/VISION360/Vision360.html?d=j2fb7nij215&amp;surl=https://d1s5m21q2l18ke.cloudfront.net/v360_mov_grey/&amp;sv=1&amp;displayAllSideview=1&amp;MTA3OTY=</t>
  </si>
  <si>
    <t>https://d1s5m21q2l18ke.cloudfront.net/VISION360/Vision360.html?d=j2fb7nij215&amp;surl=https://d1s5m21q2l18ke.cloudfront.net/v360_mov_black/&amp;sv=1&amp;displayAllSideview=1&amp;MTA3OTY=</t>
  </si>
  <si>
    <t>https://d1s5m21q2l18ke.cloudfront.net/v360_mov/j2fb7nij215.HTML?sv=1&amp;displayAllSideview=1&amp;MTA3OTY=</t>
  </si>
  <si>
    <t>https://d1s5m21q2l18ke.cloudfront.net/grey_mov_video/j2fb7nij215.MP4?MTA3OTY=</t>
  </si>
  <si>
    <t>https://d1s5m21q2l18ke.cloudfront.net/plotting.html?j2fb7nij215</t>
  </si>
  <si>
    <t>https://dyffw9lb8wur6.cloudfront.net/v360videos/j2fb7nij215.MP4?MTA3OTY=</t>
  </si>
  <si>
    <t>https://d1g2oudknjs8jf.cloudfront.net/prodpolweb/asetimage/j2fb7nij215.JPG?MTA3OTY=</t>
  </si>
  <si>
    <t>Cloud, Needle, Indented Natural, Natural</t>
  </si>
  <si>
    <t>41</t>
  </si>
  <si>
    <t>106721019</t>
  </si>
  <si>
    <t>457800</t>
  </si>
  <si>
    <t>8.58 x 6.26 x 4.09</t>
  </si>
  <si>
    <t>https://d1g2oudknjs8jf.cloudfront.net/prodpolweb/imgg_file/n4cd7oij20.JPG?MTA3OTY=</t>
  </si>
  <si>
    <t>https://d1s5m21q2l18ke.cloudfront.net/VISION360/Vision360.html?d=n4cd7oij20&amp;surl=https://d1s5m21q2l18ke.cloudfront.net/v360_mov_grey/&amp;sv=1&amp;displayAllSideview=1&amp;MTA3OTY=</t>
  </si>
  <si>
    <t>https://d1s5m21q2l18ke.cloudfront.net/VISION360/Vision360.html?d=n4cd7oij20&amp;surl=https://d1s5m21q2l18ke.cloudfront.net/v360_mov_black/&amp;sv=1&amp;displayAllSideview=1&amp;MTA3OTY=</t>
  </si>
  <si>
    <t>https://d1s5m21q2l18ke.cloudfront.net/v360_mov/n4cd7oij20.HTML?sv=1&amp;displayAllSideview=1&amp;MTA3OTY=</t>
  </si>
  <si>
    <t>https://d1s5m21q2l18ke.cloudfront.net/grey_mov_video/n4cd7oij20.MP4?MTA3OTY=</t>
  </si>
  <si>
    <t>https://d1s5m21q2l18ke.cloudfront.net/plotting.html?n4cd7oij20</t>
  </si>
  <si>
    <t>https://dyffw9lb8wur6.cloudfront.net/v360videos/n4cd7oij20.MP4?MTA3OTY=</t>
  </si>
  <si>
    <t>https://d1g2oudknjs8jf.cloudfront.net/prodpolweb/asetimage/n4cd7oij20.JPG?MTA3OTY=</t>
  </si>
  <si>
    <t>Feather, Pinpoint, Indented Natural, Natural</t>
  </si>
  <si>
    <t>Clouds are not shown. Additional pinpoints are not shown.</t>
  </si>
  <si>
    <t>42</t>
  </si>
  <si>
    <t>107160353</t>
  </si>
  <si>
    <t>473300</t>
  </si>
  <si>
    <t>8.55 x 6.24 x 4.08</t>
  </si>
  <si>
    <t>https://d1g2oudknjs8jf.cloudfront.net/prodpolweb/imgg_file/l1jb5njj249.JPG?MTA3OTY=</t>
  </si>
  <si>
    <t>https://d1s5m21q2l18ke.cloudfront.net/VISION360/Vision360.html?d=l1jb5njj249&amp;surl=https://d1s5m21q2l18ke.cloudfront.net/v360_mov_grey/&amp;sv=1&amp;displayAllSideview=1&amp;MTA3OTY=</t>
  </si>
  <si>
    <t>https://d1s5m21q2l18ke.cloudfront.net/VISION360/Vision360.html?d=l1jb5njj249&amp;surl=https://d1s5m21q2l18ke.cloudfront.net/v360_mov_black/&amp;sv=1&amp;displayAllSideview=1&amp;MTA3OTY=</t>
  </si>
  <si>
    <t>https://d1s5m21q2l18ke.cloudfront.net/v360_mov/l1jb5njj249.HTML?sv=1&amp;displayAllSideview=1&amp;MTA3OTY=</t>
  </si>
  <si>
    <t>https://d1s5m21q2l18ke.cloudfront.net/grey_mov_video/l1jb5njj249.MP4?MTA3OTY=</t>
  </si>
  <si>
    <t>https://d1s5m21q2l18ke.cloudfront.net/plotting.html?l1jb5njj249</t>
  </si>
  <si>
    <t>https://dyffw9lb8wur6.cloudfront.net/v360videos/l1jb5njj249.MP4?MTA3OTY=</t>
  </si>
  <si>
    <t>https://d1g2oudknjs8jf.cloudfront.net/prodpolweb/asetimage/l1jb5njj249.JPG?MTA3OTY=</t>
  </si>
  <si>
    <t>Cloud, Indented Natural, Natural</t>
  </si>
  <si>
    <t>43</t>
  </si>
  <si>
    <t>107120882</t>
  </si>
  <si>
    <t>497000</t>
  </si>
  <si>
    <t>9.00 x 6.35 x 3.99</t>
  </si>
  <si>
    <t>https://d1g2oudknjs8jf.cloudfront.net/prodpolweb/imgg_file/j7jc7mjj235.JPG?MTA3OTY=</t>
  </si>
  <si>
    <t>https://d1s5m21q2l18ke.cloudfront.net/VISION360/Vision360.html?d=j7jc7mjj235&amp;surl=https://d1s5m21q2l18ke.cloudfront.net/v360_mov_grey/&amp;sv=1&amp;displayAllSideview=1&amp;MTA3OTY=</t>
  </si>
  <si>
    <t>https://d1s5m21q2l18ke.cloudfront.net/VISION360/Vision360.html?d=j7jc7mjj235&amp;surl=https://d1s5m21q2l18ke.cloudfront.net/v360_mov_black/&amp;sv=1&amp;displayAllSideview=1&amp;MTA3OTY=</t>
  </si>
  <si>
    <t>https://d1s5m21q2l18ke.cloudfront.net/v360_mov/j7jc7mjj235.HTML?sv=1&amp;displayAllSideview=1&amp;MTA3OTY=</t>
  </si>
  <si>
    <t>https://d1s5m21q2l18ke.cloudfront.net/grey_mov_video/j7jc7mjj235.MP4?MTA3OTY=</t>
  </si>
  <si>
    <t>https://d1s5m21q2l18ke.cloudfront.net/plotting.html?j7jc7mjj235</t>
  </si>
  <si>
    <t>https://d1g2oudknjs8jf.cloudfront.net/prodpolweb/fl_img/j7jc7mjj235.PNG?MTA3OTY=</t>
  </si>
  <si>
    <t>https://dyffw9lb8wur6.cloudfront.net/v360videos/j7jc7mjj235.MP4?MTA3OTY=</t>
  </si>
  <si>
    <t>https://d1g2oudknjs8jf.cloudfront.net/prodpolweb/asetimage/j7jc7mjj235.JPG?MTA3OTY=</t>
  </si>
  <si>
    <t>44</t>
  </si>
  <si>
    <t>103380423</t>
  </si>
  <si>
    <t>NY</t>
  </si>
  <si>
    <t>549000</t>
  </si>
  <si>
    <t>9.08 x 6.19 x 4.00</t>
  </si>
  <si>
    <t>https://d1g2oudknjs8jf.cloudfront.net/prodpolweb/imgfiles/l5kb9rli256.JPG?MTA3OTY=</t>
  </si>
  <si>
    <t>https://d1s5m21q2l18ke.cloudfront.net/VISION360/Vision360.html?d=l5kb9rli256&amp;surl=https://d1s5m21q2l18ke.cloudfront.net/v360_mov_white/&amp;sv=1&amp;displayAllSideview=1&amp;MTA3OTY=</t>
  </si>
  <si>
    <t>https://d1s5m21q2l18ke.cloudfront.net/VISION360/Vision360.html?d=l5kb9rli256&amp;surl=https://d1s5m21q2l18ke.cloudfront.net/v360_mov_black/&amp;sv=1&amp;displayAllSideview=1&amp;MTA3OTY=</t>
  </si>
  <si>
    <t>https://d1s5m21q2l18ke.cloudfront.net/v360_mov/l5kb9rli256.HTML?sv=1&amp;displayAllSideview=1&amp;MTA3OTY=</t>
  </si>
  <si>
    <t>https://d1s5m21q2l18ke.cloudfront.net/white_mov_video/l5kb9rli256.MP4?MTA3OTY=</t>
  </si>
  <si>
    <t>https://d1s5m21q2l18ke.cloudfront.net/plotting.html?l5kb9rli256</t>
  </si>
  <si>
    <t>https://dyffw9lb8wur6.cloudfront.net/v360videos/l5kb9rli256.MP4?MTA3OTY=</t>
  </si>
  <si>
    <t>https://d1g2oudknjs8jf.cloudfront.net/prodpolweb/asetimage/l5kb9rli256.JPG?MTA3OTY=</t>
  </si>
  <si>
    <t>Crystal, Cavity, Feather, Cloud, Pinpoint, Natural</t>
  </si>
  <si>
    <t>45</t>
  </si>
  <si>
    <t>107110400</t>
  </si>
  <si>
    <t>582500</t>
  </si>
  <si>
    <t>9.37 x 6.70 x 4.14</t>
  </si>
  <si>
    <t>https://d1g2oudknjs8jf.cloudfront.net/prodpolweb/imgg_file/f1kb5mjj28.JPG?MTA3OTY=</t>
  </si>
  <si>
    <t>https://d1s5m21q2l18ke.cloudfront.net/VISION360/Vision360.html?d=f1kb5mjj28&amp;surl=https://d1s5m21q2l18ke.cloudfront.net/v360_mov_grey/&amp;sv=1&amp;displayAllSideview=1&amp;MTA3OTY=</t>
  </si>
  <si>
    <t>https://d1s5m21q2l18ke.cloudfront.net/VISION360/Vision360.html?d=f1kb5mjj28&amp;surl=https://d1s5m21q2l18ke.cloudfront.net/v360_mov_black/&amp;sv=1&amp;displayAllSideview=1&amp;MTA3OTY=</t>
  </si>
  <si>
    <t>https://d1s5m21q2l18ke.cloudfront.net/v360_mov/f1kb5mjj28.HTML?sv=1&amp;displayAllSideview=1&amp;MTA3OTY=</t>
  </si>
  <si>
    <t>https://d1s5m21q2l18ke.cloudfront.net/grey_mov_video/f1kb5mjj28.MP4?MTA3OTY=</t>
  </si>
  <si>
    <t>https://d1s5m21q2l18ke.cloudfront.net/plotting.html?f1kb5mjj28</t>
  </si>
  <si>
    <t>https://dyffw9lb8wur6.cloudfront.net/v360videos/f1kb5mjj28.MP4?MTA3OTY=</t>
  </si>
  <si>
    <t>https://d1g2oudknjs8jf.cloudfront.net/prodpolweb/asetimage/f1kb5mjj28.JPG?MTA3OTY=</t>
  </si>
  <si>
    <t>Crystal, Feather, Cloud, Needle</t>
  </si>
  <si>
    <t>Additional clouds, pinpoints and surface graining are not shown.</t>
  </si>
  <si>
    <t>46</t>
  </si>
  <si>
    <t>106721106</t>
  </si>
  <si>
    <t>487000</t>
  </si>
  <si>
    <t>https://d1g2oudknjs8jf.cloudfront.net/prodpolweb/imgg_file/h2ed7oij26.JPG?MTA3OTY=</t>
  </si>
  <si>
    <t>https://d1s5m21q2l18ke.cloudfront.net/VISION360/Vision360.html?d=h2ed7oij26&amp;surl=https://d1s5m21q2l18ke.cloudfront.net/v360_mov_grey/&amp;sv=1&amp;displayAllSideview=1&amp;MTA3OTY=</t>
  </si>
  <si>
    <t>https://d1s5m21q2l18ke.cloudfront.net/VISION360/Vision360.html?d=h2ed7oij26&amp;surl=https://d1s5m21q2l18ke.cloudfront.net/v360_mov_black/&amp;sv=1&amp;displayAllSideview=1&amp;MTA3OTY=</t>
  </si>
  <si>
    <t>https://d1s5m21q2l18ke.cloudfront.net/v360_mov/h2ed7oij26.HTML?sv=1&amp;displayAllSideview=1&amp;MTA3OTY=</t>
  </si>
  <si>
    <t>https://d1s5m21q2l18ke.cloudfront.net/grey_mov_video/h2ed7oij26.MP4?MTA3OTY=</t>
  </si>
  <si>
    <t>https://d1s5m21q2l18ke.cloudfront.net/plotting.html?h2ed7oij26</t>
  </si>
  <si>
    <t>https://dyffw9lb8wur6.cloudfront.net/v360videos/h2ed7oij26.MP4?MTA3OTY=</t>
  </si>
  <si>
    <t>https://d1g2oudknjs8jf.cloudfront.net/prodpolweb/asetimage/h2ed7oij26.JPG?MTA3OTY=</t>
  </si>
  <si>
    <t>Feather, Indented Natural, Cloud, Needle, Natural</t>
  </si>
  <si>
    <t>47</t>
  </si>
  <si>
    <t>107770217</t>
  </si>
  <si>
    <t>508800</t>
  </si>
  <si>
    <t>8.80 x 6.33 x 4.05</t>
  </si>
  <si>
    <t>https://d1g2oudknjs8jf.cloudfront.net/prodpolweb/imgg_file/j4gb7pkj220.JPG?MTA3OTY=</t>
  </si>
  <si>
    <t>https://d1s5m21q2l18ke.cloudfront.net/VISION360/Vision360.html?d=j4gb7pkj220&amp;surl=https://d1s5m21q2l18ke.cloudfront.net/v360_mov_grey/&amp;sv=1&amp;displayAllSideview=1&amp;MTA3OTY=</t>
  </si>
  <si>
    <t>https://d1s5m21q2l18ke.cloudfront.net/VISION360/Vision360.html?d=j4gb7pkj220&amp;surl=https://d1s5m21q2l18ke.cloudfront.net/v360_mov_black/&amp;sv=1&amp;displayAllSideview=1&amp;MTA3OTY=</t>
  </si>
  <si>
    <t>https://d1s5m21q2l18ke.cloudfront.net/v360_mov/j4gb7pkj220.HTML?sv=1&amp;displayAllSideview=1&amp;MTA3OTY=</t>
  </si>
  <si>
    <t>https://d1s5m21q2l18ke.cloudfront.net/grey_mov_video/j4gb7pkj220.MP4?MTA3OTY=</t>
  </si>
  <si>
    <t>https://d1s5m21q2l18ke.cloudfront.net/plotting.html?j4gb7pkj220</t>
  </si>
  <si>
    <t>https://dyffw9lb8wur6.cloudfront.net/v360videos/j4gb7pkj220.MP4?MTA3OTY=</t>
  </si>
  <si>
    <t>https://d1g2oudknjs8jf.cloudfront.net/prodpolweb/asetimage/j4gb7pkj220.JPG?MTA3OTY=</t>
  </si>
  <si>
    <t>Cloud, Crystal, Feather, Cavity</t>
  </si>
  <si>
    <t>48</t>
  </si>
  <si>
    <t>107730114</t>
  </si>
  <si>
    <t>486100</t>
  </si>
  <si>
    <t>8.73 x 6.28 x 4.02</t>
  </si>
  <si>
    <t>https://d1g2oudknjs8jf.cloudfront.net/prodpolweb/imgg_file/n3eb9okj218.JPG?MTA3OTY=</t>
  </si>
  <si>
    <t>https://d1s5m21q2l18ke.cloudfront.net/VISION360/Vision360.html?d=n3eb9okj218&amp;surl=https://d1s5m21q2l18ke.cloudfront.net/v360_mov_grey/&amp;sv=1&amp;displayAllSideview=1&amp;MTA3OTY=</t>
  </si>
  <si>
    <t>https://d1s5m21q2l18ke.cloudfront.net/VISION360/Vision360.html?d=n3eb9okj218&amp;surl=https://d1s5m21q2l18ke.cloudfront.net/v360_mov_black/&amp;sv=1&amp;displayAllSideview=1&amp;MTA3OTY=</t>
  </si>
  <si>
    <t>https://d1s5m21q2l18ke.cloudfront.net/v360_mov/n3eb9okj218.HTML?sv=1&amp;displayAllSideview=1&amp;MTA3OTY=</t>
  </si>
  <si>
    <t>https://d1s5m21q2l18ke.cloudfront.net/grey_mov_video/n3eb9okj218.MP4?MTA3OTY=</t>
  </si>
  <si>
    <t>https://d1s5m21q2l18ke.cloudfront.net/plotting.html?n3eb9okj218</t>
  </si>
  <si>
    <t>https://dyffw9lb8wur6.cloudfront.net/v360videos/n3eb9okj218.MP4?MTA3OTY=</t>
  </si>
  <si>
    <t>https://d1g2oudknjs8jf.cloudfront.net/prodpolweb/asetimage/n3eb9okj218.JPG?MTA3OTY=</t>
  </si>
  <si>
    <t>Feather, Cloud, Pinpoint, Indented Natural, Natural</t>
  </si>
  <si>
    <t>49</t>
  </si>
  <si>
    <t>107730289</t>
  </si>
  <si>
    <t>638100</t>
  </si>
  <si>
    <t>9.33 x 6.69 x 4.28</t>
  </si>
  <si>
    <t>https://d1g2oudknjs8jf.cloudfront.net/prodpolweb/imgg_file/n8hb9okj245.JPG?MTA3OTY=</t>
  </si>
  <si>
    <t>https://d1s5m21q2l18ke.cloudfront.net/VISION360/Vision360.html?d=n8hb9okj245&amp;surl=https://d1s5m21q2l18ke.cloudfront.net/v360_mov_grey/&amp;sv=1&amp;displayAllSideview=1&amp;MTA3OTY=</t>
  </si>
  <si>
    <t>https://d1s5m21q2l18ke.cloudfront.net/VISION360/Vision360.html?d=n8hb9okj245&amp;surl=https://d1s5m21q2l18ke.cloudfront.net/v360_mov_black/&amp;sv=1&amp;displayAllSideview=1&amp;MTA3OTY=</t>
  </si>
  <si>
    <t>https://d1s5m21q2l18ke.cloudfront.net/v360_mov/n8hb9okj245.HTML?sv=1&amp;displayAllSideview=1&amp;MTA3OTY=</t>
  </si>
  <si>
    <t>https://d1s5m21q2l18ke.cloudfront.net/grey_mov_video/n8hb9okj245.MP4?MTA3OTY=</t>
  </si>
  <si>
    <t>https://d1s5m21q2l18ke.cloudfront.net/plotting.html?n8hb9okj245</t>
  </si>
  <si>
    <t>https://dyffw9lb8wur6.cloudfront.net/v360videos/n8hb9okj245.MP4?MTA3OTY=</t>
  </si>
  <si>
    <t>https://d1g2oudknjs8jf.cloudfront.net/prodpolweb/asetimage/n8hb9okj245.JPG?MTA3OTY=</t>
  </si>
  <si>
    <t>Crystal, Feather, Cloud, Pinpoint</t>
  </si>
  <si>
    <t>Additional clouds are not shown. Additional pinpoints are not shown.</t>
  </si>
  <si>
    <t>50</t>
  </si>
  <si>
    <t>107280177</t>
  </si>
  <si>
    <t>8.61 x 6.24 x 4.05</t>
  </si>
  <si>
    <t>https://d1g2oudknjs8jf.cloudfront.net/prodpolweb/imgg_file/j6fb9pjj215.JPG?MTA3OTY=</t>
  </si>
  <si>
    <t>https://d1s5m21q2l18ke.cloudfront.net/VISION360/Vision360.html?d=j6fb9pjj215&amp;surl=https://d1s5m21q2l18ke.cloudfront.net/v360_mov_grey/&amp;sv=1&amp;displayAllSideview=1&amp;MTA3OTY=</t>
  </si>
  <si>
    <t>https://d1s5m21q2l18ke.cloudfront.net/VISION360/Vision360.html?d=j6fb9pjj215&amp;surl=https://d1s5m21q2l18ke.cloudfront.net/v360_mov_black/&amp;sv=1&amp;displayAllSideview=1&amp;MTA3OTY=</t>
  </si>
  <si>
    <t>https://d1s5m21q2l18ke.cloudfront.net/v360_mov/j6fb9pjj215.HTML?sv=1&amp;displayAllSideview=1&amp;MTA3OTY=</t>
  </si>
  <si>
    <t>https://d1s5m21q2l18ke.cloudfront.net/grey_mov_video/j6fb9pjj215.MP4?MTA3OTY=</t>
  </si>
  <si>
    <t>https://d1s5m21q2l18ke.cloudfront.net/plotting.html?j6fb9pjj215</t>
  </si>
  <si>
    <t>https://dyffw9lb8wur6.cloudfront.net/v360videos/j6fb9pjj215.MP4?MTA3OTY=</t>
  </si>
  <si>
    <t>https://d1g2oudknjs8jf.cloudfront.net/prodpolweb/asetimage/j6fb9pjj215.JPG?MTA3OTY=</t>
  </si>
  <si>
    <t>Cloud, Needle</t>
  </si>
  <si>
    <t>108540243</t>
  </si>
  <si>
    <t>439000*</t>
  </si>
  <si>
    <t>8.58 x 6.26 x 4.06</t>
  </si>
  <si>
    <t>https://d1g2oudknjs8jf.cloudfront.net/prodpolweb/imgg_file/l9gb11kmj228.JPG?MTA3OTY=</t>
  </si>
  <si>
    <t>https://d1s5m21q2l18ke.cloudfront.net/VISION360/Vision360.html?d=l9gb11kmj228&amp;surl=https://d1s5m21q2l18ke.cloudfront.net/v360_mov_grey/&amp;sv=1&amp;displayAllSideview=1&amp;MTA3OTY=</t>
  </si>
  <si>
    <t>https://d1s5m21q2l18ke.cloudfront.net/VISION360/Vision360.html?d=l9gb11kmj228&amp;surl=https://d1s5m21q2l18ke.cloudfront.net/v360_mov_black/&amp;sv=1&amp;displayAllSideview=1&amp;MTA3OTY=</t>
  </si>
  <si>
    <t>https://d1s5m21q2l18ke.cloudfront.net/v360_mov/l9gb11kmj228.HTML?sv=1&amp;displayAllSideview=1&amp;MTA3OTY=</t>
  </si>
  <si>
    <t>https://d1s5m21q2l18ke.cloudfront.net/grey_mov_video/l9gb11kmj228.MP4?MTA3OTY=</t>
  </si>
  <si>
    <t>https://d1s5m21q2l18ke.cloudfront.net/plotting.html?l9gb11kmj228</t>
  </si>
  <si>
    <t>https://dyffw9lb8wur6.cloudfront.net/v360videos/l9gb11kmj228.MP4?MTA3OTY=</t>
  </si>
  <si>
    <t>https://d1g2oudknjs8jf.cloudfront.net/prodpolweb/asetimage/l9gb11kmj228.JPG?MTA3OTY=</t>
  </si>
  <si>
    <t>Total</t>
  </si>
  <si>
    <t>Average</t>
  </si>
  <si>
    <t>1) Availability, prices, and discount % shown in this Excel are subject to change. Please refer our website/app for latest updates.</t>
  </si>
  <si>
    <t>2) Venus Jewel is not liable for any changes, errors, or mismatch in this excel.</t>
  </si>
  <si>
    <t>3) Prices for match-pair pieces are combined and displayed as a total. To know individual prices for match-pair pieces, please contact your Venus Representative.</t>
  </si>
  <si>
    <t>4) Detailed and in-depth Venus Grading details are available on request for each diamond.</t>
  </si>
  <si>
    <t>5) For diamonds over 10.00cts., the reference to +5.00ct Discount % is shown in brackets "()" under the Discount % column.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</si>
</sst>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00"/>
  </numFmts>
  <fonts count="26">
    <font>
      <sz val="11"/>
      <color rgb="FF000000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u/>
      <sz val="11"/>
      <color rgb="FF0000FF"/>
      <name val="Calibri"/>
      <charset val="134"/>
    </font>
    <font>
      <b/>
      <sz val="10"/>
      <name val="Calibri"/>
      <charset val="134"/>
    </font>
    <font>
      <i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52891"/>
        <bgColor rgb="FF35289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2" xfId="0" applyNumberFormat="1" applyFont="1" applyBorder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178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2" fontId="2" fillId="0" borderId="0" xfId="0" applyNumberFormat="1" applyFont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2" fontId="2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/>
    </xf>
    <xf numFmtId="2" fontId="4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1s5m21q2l18ke.cloudfront.net/v360_mov/n7lb5nhj281.HTML?sv=1&amp;displayAllSideview=1&amp;MTA3OTY=" TargetMode="External"/><Relationship Id="rId98" Type="http://schemas.openxmlformats.org/officeDocument/2006/relationships/hyperlink" Target="https://d1s5m21q2l18ke.cloudfront.net/VISION360/Vision360.html?d=n7lb5nhj281&amp;surl=https://d1s5m21q2l18ke.cloudfront.net/v360_mov_black/&amp;sv=1&amp;displayAllSideview=1&amp;MTA3OTY=" TargetMode="External"/><Relationship Id="rId97" Type="http://schemas.openxmlformats.org/officeDocument/2006/relationships/hyperlink" Target="https://d1s5m21q2l18ke.cloudfront.net/VISION360/Vision360.html?d=n7lb5nhj281&amp;surl=https://d1s5m21q2l18ke.cloudfront.net/v360_mov_grey/&amp;sv=1&amp;displayAllSideview=1&amp;MTA3OTY=" TargetMode="External"/><Relationship Id="rId96" Type="http://schemas.openxmlformats.org/officeDocument/2006/relationships/hyperlink" Target="https://d1g2oudknjs8jf.cloudfront.net/prodpolweb/imgg_file/n7lb5nhj281.JPG?MTA3OTY=" TargetMode="External"/><Relationship Id="rId95" Type="http://schemas.openxmlformats.org/officeDocument/2006/relationships/hyperlink" Target="https://d1g2oudknjs8jf.cloudfront.net/prodpolweb/cert/GIAn7lb5nhj281.PDF?MTA3OTY=" TargetMode="External"/><Relationship Id="rId94" Type="http://schemas.openxmlformats.org/officeDocument/2006/relationships/hyperlink" Target="https://d1g2oudknjs8jf.cloudfront.net/prodpolweb/asetimage/f1jd3nhj27.JPG?MTA3OTY=" TargetMode="External"/><Relationship Id="rId93" Type="http://schemas.openxmlformats.org/officeDocument/2006/relationships/hyperlink" Target="https://dyffw9lb8wur6.cloudfront.net/v360videos/f1jd3nhj27.MP4?MTA3OTY=" TargetMode="External"/><Relationship Id="rId92" Type="http://schemas.openxmlformats.org/officeDocument/2006/relationships/hyperlink" Target="https://d1s5m21q2l18ke.cloudfront.net/plotting.html?f1jd3nhj27" TargetMode="External"/><Relationship Id="rId91" Type="http://schemas.openxmlformats.org/officeDocument/2006/relationships/hyperlink" Target="https://d1s5m21q2l18ke.cloudfront.net/grey_mov_video/f1jd3nhj27.MP4?MTA3OTY=" TargetMode="External"/><Relationship Id="rId90" Type="http://schemas.openxmlformats.org/officeDocument/2006/relationships/hyperlink" Target="https://d1s5m21q2l18ke.cloudfront.net/v360_mov/f1jd3nhj27.HTML?sv=1&amp;displayAllSideview=1&amp;MTA3OTY=" TargetMode="External"/><Relationship Id="rId9" Type="http://schemas.openxmlformats.org/officeDocument/2006/relationships/hyperlink" Target="https://dyffw9lb8wur6.cloudfront.net/v360videos/l1ib11ohi042.MP4?MTA3OTY=" TargetMode="External"/><Relationship Id="rId89" Type="http://schemas.openxmlformats.org/officeDocument/2006/relationships/hyperlink" Target="https://d1s5m21q2l18ke.cloudfront.net/VISION360/Vision360.html?d=f1jd3nhj27&amp;surl=https://d1s5m21q2l18ke.cloudfront.net/v360_mov_black/&amp;sv=1&amp;displayAllSideview=1&amp;MTA3OTY=" TargetMode="External"/><Relationship Id="rId88" Type="http://schemas.openxmlformats.org/officeDocument/2006/relationships/hyperlink" Target="https://d1s5m21q2l18ke.cloudfront.net/VISION360/Vision360.html?d=f1jd3nhj27&amp;surl=https://d1s5m21q2l18ke.cloudfront.net/v360_mov_grey/&amp;sv=1&amp;displayAllSideview=1&amp;MTA3OTY=" TargetMode="External"/><Relationship Id="rId87" Type="http://schemas.openxmlformats.org/officeDocument/2006/relationships/hyperlink" Target="https://d1g2oudknjs8jf.cloudfront.net/prodpolweb/imgg_file/f1jd3nhj27.JPG?MTA3OTY=" TargetMode="External"/><Relationship Id="rId86" Type="http://schemas.openxmlformats.org/officeDocument/2006/relationships/hyperlink" Target="https://d1g2oudknjs8jf.cloudfront.net/prodpolweb/cert/GIAf1jd3nhj27.PDF?MTA3OTY=" TargetMode="External"/><Relationship Id="rId85" Type="http://schemas.openxmlformats.org/officeDocument/2006/relationships/hyperlink" Target="https://d1g2oudknjs8jf.cloudfront.net/prodpolweb/asetimage/f10ib7nhi06.JPG?MTA3OTY=" TargetMode="External"/><Relationship Id="rId84" Type="http://schemas.openxmlformats.org/officeDocument/2006/relationships/hyperlink" Target="https://dyffw9lb8wur6.cloudfront.net/v360videos/f10ib7nhi06.MP4?MTA3OTY=" TargetMode="External"/><Relationship Id="rId83" Type="http://schemas.openxmlformats.org/officeDocument/2006/relationships/hyperlink" Target="https://d1s5m21q2l18ke.cloudfront.net/plotting.html?f10ib7nhi06" TargetMode="External"/><Relationship Id="rId82" Type="http://schemas.openxmlformats.org/officeDocument/2006/relationships/hyperlink" Target="https://d1s5m21q2l18ke.cloudfront.net/white_mov_video/f10ib7nhi06.MP4?MTA3OTY=" TargetMode="External"/><Relationship Id="rId81" Type="http://schemas.openxmlformats.org/officeDocument/2006/relationships/hyperlink" Target="https://d1s5m21q2l18ke.cloudfront.net/v360_mov/f10ib7nhi06.HTML?sv=1&amp;displayAllSideview=1&amp;MTA3OTY=" TargetMode="External"/><Relationship Id="rId80" Type="http://schemas.openxmlformats.org/officeDocument/2006/relationships/hyperlink" Target="https://d1s5m21q2l18ke.cloudfront.net/VISION360/Vision360.html?d=f10ib7nhi06&amp;surl=https://d1s5m21q2l18ke.cloudfront.net/v360_mov_black/&amp;sv=1&amp;displayAllSideview=1&amp;MTA3OTY=" TargetMode="External"/><Relationship Id="rId8" Type="http://schemas.openxmlformats.org/officeDocument/2006/relationships/hyperlink" Target="https://d1g2oudknjs8jf.cloudfront.net/prodpolweb/fl_img/l1ib11ohi042.PNG?MTA3OTY=" TargetMode="External"/><Relationship Id="rId79" Type="http://schemas.openxmlformats.org/officeDocument/2006/relationships/hyperlink" Target="https://d1s5m21q2l18ke.cloudfront.net/VISION360/Vision360.html?d=f10ib7nhi06&amp;surl=https://d1s5m21q2l18ke.cloudfront.net/v360_mov_white/&amp;sv=1&amp;displayAllSideview=1&amp;MTA3OTY=" TargetMode="External"/><Relationship Id="rId78" Type="http://schemas.openxmlformats.org/officeDocument/2006/relationships/hyperlink" Target="https://d1g2oudknjs8jf.cloudfront.net/prodpolweb/imgfiles/f10ib7nhi06.JPG?MTA3OTY=" TargetMode="External"/><Relationship Id="rId77" Type="http://schemas.openxmlformats.org/officeDocument/2006/relationships/hyperlink" Target="https://d1g2oudknjs8jf.cloudfront.net/prodpolweb/cert/GIAf10ib7nhi06.PDF?MTA3OTY=" TargetMode="External"/><Relationship Id="rId76" Type="http://schemas.openxmlformats.org/officeDocument/2006/relationships/hyperlink" Target="https://d1g2oudknjs8jf.cloudfront.net/prodpolweb/asetimage/j3db5nhi05.JPG?MTA3OTY=" TargetMode="External"/><Relationship Id="rId75" Type="http://schemas.openxmlformats.org/officeDocument/2006/relationships/hyperlink" Target="https://dyffw9lb8wur6.cloudfront.net/v360videos/j3db5nhi05.MP4?MTA3OTY=" TargetMode="External"/><Relationship Id="rId74" Type="http://schemas.openxmlformats.org/officeDocument/2006/relationships/hyperlink" Target="https://d1g2oudknjs8jf.cloudfront.net/prodpolweb/fl_img/j3db5nhi05.JPG?MTA3OTY=" TargetMode="External"/><Relationship Id="rId73" Type="http://schemas.openxmlformats.org/officeDocument/2006/relationships/hyperlink" Target="https://d1s5m21q2l18ke.cloudfront.net/plotting.html?j3db5nhi05" TargetMode="External"/><Relationship Id="rId72" Type="http://schemas.openxmlformats.org/officeDocument/2006/relationships/hyperlink" Target="https://d1s5m21q2l18ke.cloudfront.net/white_mov_video/j3db5nhi05.MP4?MTA3OTY=" TargetMode="External"/><Relationship Id="rId71" Type="http://schemas.openxmlformats.org/officeDocument/2006/relationships/hyperlink" Target="https://d1s5m21q2l18ke.cloudfront.net/v360_mov/j3db5nhi05.HTML?sv=1&amp;displayAllSideview=1&amp;MTA3OTY=" TargetMode="External"/><Relationship Id="rId70" Type="http://schemas.openxmlformats.org/officeDocument/2006/relationships/hyperlink" Target="https://d1s5m21q2l18ke.cloudfront.net/VISION360/Vision360.html?d=j3db5nhi05&amp;surl=https://d1s5m21q2l18ke.cloudfront.net/v360_mov_black/&amp;sv=1&amp;displayAllSideview=1&amp;MTA3OTY=" TargetMode="External"/><Relationship Id="rId7" Type="http://schemas.openxmlformats.org/officeDocument/2006/relationships/hyperlink" Target="https://d1s5m21q2l18ke.cloudfront.net/plotting.html?l1ib11ohi042" TargetMode="External"/><Relationship Id="rId69" Type="http://schemas.openxmlformats.org/officeDocument/2006/relationships/hyperlink" Target="https://d1s5m21q2l18ke.cloudfront.net/VISION360/Vision360.html?d=j3db5nhi05&amp;surl=https://d1s5m21q2l18ke.cloudfront.net/v360_mov_white/&amp;sv=1&amp;displayAllSideview=1&amp;MTA3OTY=" TargetMode="External"/><Relationship Id="rId68" Type="http://schemas.openxmlformats.org/officeDocument/2006/relationships/hyperlink" Target="https://d1g2oudknjs8jf.cloudfront.net/prodpolweb/imgfiles/j3db5nhi05.JPG?MTA3OTY=" TargetMode="External"/><Relationship Id="rId67" Type="http://schemas.openxmlformats.org/officeDocument/2006/relationships/hyperlink" Target="https://d1g2oudknjs8jf.cloudfront.net/prodpolweb/cert/GIAj3db5nhi05.PDF?MTA3OTY=" TargetMode="External"/><Relationship Id="rId66" Type="http://schemas.openxmlformats.org/officeDocument/2006/relationships/hyperlink" Target="https://d1g2oudknjs8jf.cloudfront.net/prodpolweb/asetimage/f6fb7pjj23.JPG?MTA3OTY=" TargetMode="External"/><Relationship Id="rId65" Type="http://schemas.openxmlformats.org/officeDocument/2006/relationships/hyperlink" Target="https://dyffw9lb8wur6.cloudfront.net/v360videos/f6fb7pjj23.MP4?MTA3OTY=" TargetMode="External"/><Relationship Id="rId64" Type="http://schemas.openxmlformats.org/officeDocument/2006/relationships/hyperlink" Target="https://d1s5m21q2l18ke.cloudfront.net/plotting.html?f6fb7pjj23" TargetMode="External"/><Relationship Id="rId63" Type="http://schemas.openxmlformats.org/officeDocument/2006/relationships/hyperlink" Target="https://d1s5m21q2l18ke.cloudfront.net/grey_mov_video/f6fb7pjj23.MP4?MTA3OTY=" TargetMode="External"/><Relationship Id="rId62" Type="http://schemas.openxmlformats.org/officeDocument/2006/relationships/hyperlink" Target="https://d1s5m21q2l18ke.cloudfront.net/v360_mov/f6fb7pjj23.HTML?sv=1&amp;displayAllSideview=1&amp;MTA3OTY=" TargetMode="External"/><Relationship Id="rId61" Type="http://schemas.openxmlformats.org/officeDocument/2006/relationships/hyperlink" Target="https://d1s5m21q2l18ke.cloudfront.net/VISION360/Vision360.html?d=f6fb7pjj23&amp;surl=https://d1s5m21q2l18ke.cloudfront.net/v360_mov_black/&amp;sv=1&amp;displayAllSideview=1&amp;MTA3OTY=" TargetMode="External"/><Relationship Id="rId60" Type="http://schemas.openxmlformats.org/officeDocument/2006/relationships/hyperlink" Target="https://d1s5m21q2l18ke.cloudfront.net/VISION360/Vision360.html?d=f6fb7pjj23&amp;surl=https://d1s5m21q2l18ke.cloudfront.net/v360_mov_grey/&amp;sv=1&amp;displayAllSideview=1&amp;MTA3OTY=" TargetMode="External"/><Relationship Id="rId6" Type="http://schemas.openxmlformats.org/officeDocument/2006/relationships/hyperlink" Target="https://d1s5m21q2l18ke.cloudfront.net/white_mov_video/l1ib11ohi042.MP4?MTA3OTY=" TargetMode="External"/><Relationship Id="rId59" Type="http://schemas.openxmlformats.org/officeDocument/2006/relationships/hyperlink" Target="https://d1g2oudknjs8jf.cloudfront.net/prodpolweb/imgg_file/f6fb7pjj23.JPG?MTA3OTY=" TargetMode="External"/><Relationship Id="rId58" Type="http://schemas.openxmlformats.org/officeDocument/2006/relationships/hyperlink" Target="https://d1g2oudknjs8jf.cloudfront.net/prodpolweb/cert/GIAf6fb7pjj23.PDF?MTA3OTY=" TargetMode="External"/><Relationship Id="rId57" Type="http://schemas.openxmlformats.org/officeDocument/2006/relationships/hyperlink" Target="https://d1g2oudknjs8jf.cloudfront.net/prodpolweb/asetimage/l2ed3njj214.JPG?MTA3OTY=" TargetMode="External"/><Relationship Id="rId56" Type="http://schemas.openxmlformats.org/officeDocument/2006/relationships/hyperlink" Target="https://dyffw9lb8wur6.cloudfront.net/v360videos/l2ed3njj214.MP4?MTA3OTY=" TargetMode="External"/><Relationship Id="rId55" Type="http://schemas.openxmlformats.org/officeDocument/2006/relationships/hyperlink" Target="https://d1g2oudknjs8jf.cloudfront.net/prodpolweb/fl_img/l2ed3njj214.PNG?MTA3OTY=" TargetMode="External"/><Relationship Id="rId54" Type="http://schemas.openxmlformats.org/officeDocument/2006/relationships/hyperlink" Target="https://d1s5m21q2l18ke.cloudfront.net/plotting.html?l2ed3njj214" TargetMode="External"/><Relationship Id="rId53" Type="http://schemas.openxmlformats.org/officeDocument/2006/relationships/hyperlink" Target="https://d1s5m21q2l18ke.cloudfront.net/grey_mov_video/l2ed3njj214.MP4?MTA3OTY=" TargetMode="External"/><Relationship Id="rId52" Type="http://schemas.openxmlformats.org/officeDocument/2006/relationships/hyperlink" Target="https://d1s5m21q2l18ke.cloudfront.net/v360_mov/l2ed3njj214.HTML?sv=1&amp;displayAllSideview=1&amp;MTA3OTY=" TargetMode="External"/><Relationship Id="rId51" Type="http://schemas.openxmlformats.org/officeDocument/2006/relationships/hyperlink" Target="https://d1s5m21q2l18ke.cloudfront.net/VISION360/Vision360.html?d=l2ed3njj214&amp;surl=https://d1s5m21q2l18ke.cloudfront.net/v360_mov_black/&amp;sv=1&amp;displayAllSideview=1&amp;MTA3OTY=" TargetMode="External"/><Relationship Id="rId50" Type="http://schemas.openxmlformats.org/officeDocument/2006/relationships/hyperlink" Target="https://d1s5m21q2l18ke.cloudfront.net/VISION360/Vision360.html?d=l2ed3njj214&amp;surl=https://d1s5m21q2l18ke.cloudfront.net/v360_mov_grey/&amp;sv=1&amp;displayAllSideview=1&amp;MTA3OTY=" TargetMode="External"/><Relationship Id="rId5" Type="http://schemas.openxmlformats.org/officeDocument/2006/relationships/hyperlink" Target="https://d1s5m21q2l18ke.cloudfront.net/v360_mov/l1ib11ohi042.HTML?sv=1&amp;displayAllSideview=1&amp;MTA3OTY=" TargetMode="External"/><Relationship Id="rId49" Type="http://schemas.openxmlformats.org/officeDocument/2006/relationships/hyperlink" Target="https://d1g2oudknjs8jf.cloudfront.net/prodpolweb/imgg_file/l2ed3njj214.JPG?MTA3OTY=" TargetMode="External"/><Relationship Id="rId48" Type="http://schemas.openxmlformats.org/officeDocument/2006/relationships/hyperlink" Target="https://d1g2oudknjs8jf.cloudfront.net/prodpolweb/cert/GIAl2ed3njj214.PDF?MTA3OTY=" TargetMode="External"/><Relationship Id="rId471" Type="http://schemas.openxmlformats.org/officeDocument/2006/relationships/hyperlink" Target="https://d1g2oudknjs8jf.cloudfront.net/prodpolweb/asetimage/l9gb11kmj228.JPG?MTA3OTY=" TargetMode="External"/><Relationship Id="rId470" Type="http://schemas.openxmlformats.org/officeDocument/2006/relationships/hyperlink" Target="https://dyffw9lb8wur6.cloudfront.net/v360videos/l9gb11kmj228.MP4?MTA3OTY=" TargetMode="External"/><Relationship Id="rId47" Type="http://schemas.openxmlformats.org/officeDocument/2006/relationships/hyperlink" Target="https://d1g2oudknjs8jf.cloudfront.net/prodpolweb/asetimage/j10cb9koi20.JPG?MTA3OTY=" TargetMode="External"/><Relationship Id="rId469" Type="http://schemas.openxmlformats.org/officeDocument/2006/relationships/hyperlink" Target="https://d1s5m21q2l18ke.cloudfront.net/plotting.html?l9gb11kmj228" TargetMode="External"/><Relationship Id="rId468" Type="http://schemas.openxmlformats.org/officeDocument/2006/relationships/hyperlink" Target="https://d1s5m21q2l18ke.cloudfront.net/grey_mov_video/l9gb11kmj228.MP4?MTA3OTY=" TargetMode="External"/><Relationship Id="rId467" Type="http://schemas.openxmlformats.org/officeDocument/2006/relationships/hyperlink" Target="https://d1s5m21q2l18ke.cloudfront.net/v360_mov/l9gb11kmj228.HTML?sv=1&amp;displayAllSideview=1&amp;MTA3OTY=" TargetMode="External"/><Relationship Id="rId466" Type="http://schemas.openxmlformats.org/officeDocument/2006/relationships/hyperlink" Target="https://d1s5m21q2l18ke.cloudfront.net/VISION360/Vision360.html?d=l9gb11kmj228&amp;surl=https://d1s5m21q2l18ke.cloudfront.net/v360_mov_black/&amp;sv=1&amp;displayAllSideview=1&amp;MTA3OTY=" TargetMode="External"/><Relationship Id="rId465" Type="http://schemas.openxmlformats.org/officeDocument/2006/relationships/hyperlink" Target="https://d1s5m21q2l18ke.cloudfront.net/VISION360/Vision360.html?d=l9gb11kmj228&amp;surl=https://d1s5m21q2l18ke.cloudfront.net/v360_mov_grey/&amp;sv=1&amp;displayAllSideview=1&amp;MTA3OTY=" TargetMode="External"/><Relationship Id="rId464" Type="http://schemas.openxmlformats.org/officeDocument/2006/relationships/hyperlink" Target="https://d1g2oudknjs8jf.cloudfront.net/prodpolweb/imgg_file/l9gb11kmj228.JPG?MTA3OTY=" TargetMode="External"/><Relationship Id="rId463" Type="http://schemas.openxmlformats.org/officeDocument/2006/relationships/hyperlink" Target="https://d1g2oudknjs8jf.cloudfront.net/prodpolweb/cert/GIAl9gb11kmj228.PDF?MTA3OTY=" TargetMode="External"/><Relationship Id="rId462" Type="http://schemas.openxmlformats.org/officeDocument/2006/relationships/hyperlink" Target="https://d1g2oudknjs8jf.cloudfront.net/prodpolweb/asetimage/j6fb9pjj215.JPG?MTA3OTY=" TargetMode="External"/><Relationship Id="rId461" Type="http://schemas.openxmlformats.org/officeDocument/2006/relationships/hyperlink" Target="https://dyffw9lb8wur6.cloudfront.net/v360videos/j6fb9pjj215.MP4?MTA3OTY=" TargetMode="External"/><Relationship Id="rId460" Type="http://schemas.openxmlformats.org/officeDocument/2006/relationships/hyperlink" Target="https://d1s5m21q2l18ke.cloudfront.net/plotting.html?j6fb9pjj215" TargetMode="External"/><Relationship Id="rId46" Type="http://schemas.openxmlformats.org/officeDocument/2006/relationships/hyperlink" Target="https://dyffw9lb8wur6.cloudfront.net/v360videos/j10cb9koi20.MP4?MTA3OTY=" TargetMode="External"/><Relationship Id="rId459" Type="http://schemas.openxmlformats.org/officeDocument/2006/relationships/hyperlink" Target="https://d1s5m21q2l18ke.cloudfront.net/grey_mov_video/j6fb9pjj215.MP4?MTA3OTY=" TargetMode="External"/><Relationship Id="rId458" Type="http://schemas.openxmlformats.org/officeDocument/2006/relationships/hyperlink" Target="https://d1s5m21q2l18ke.cloudfront.net/v360_mov/j6fb9pjj215.HTML?sv=1&amp;displayAllSideview=1&amp;MTA3OTY=" TargetMode="External"/><Relationship Id="rId457" Type="http://schemas.openxmlformats.org/officeDocument/2006/relationships/hyperlink" Target="https://d1s5m21q2l18ke.cloudfront.net/VISION360/Vision360.html?d=j6fb9pjj215&amp;surl=https://d1s5m21q2l18ke.cloudfront.net/v360_mov_black/&amp;sv=1&amp;displayAllSideview=1&amp;MTA3OTY=" TargetMode="External"/><Relationship Id="rId456" Type="http://schemas.openxmlformats.org/officeDocument/2006/relationships/hyperlink" Target="https://d1s5m21q2l18ke.cloudfront.net/VISION360/Vision360.html?d=j6fb9pjj215&amp;surl=https://d1s5m21q2l18ke.cloudfront.net/v360_mov_grey/&amp;sv=1&amp;displayAllSideview=1&amp;MTA3OTY=" TargetMode="External"/><Relationship Id="rId455" Type="http://schemas.openxmlformats.org/officeDocument/2006/relationships/hyperlink" Target="https://d1g2oudknjs8jf.cloudfront.net/prodpolweb/imgg_file/j6fb9pjj215.JPG?MTA3OTY=" TargetMode="External"/><Relationship Id="rId454" Type="http://schemas.openxmlformats.org/officeDocument/2006/relationships/hyperlink" Target="https://d1g2oudknjs8jf.cloudfront.net/prodpolweb/cert/GIAj6fb9pjj215.PDF?MTA3OTY=" TargetMode="External"/><Relationship Id="rId453" Type="http://schemas.openxmlformats.org/officeDocument/2006/relationships/hyperlink" Target="https://d1g2oudknjs8jf.cloudfront.net/prodpolweb/asetimage/n8hb9okj245.JPG?MTA3OTY=" TargetMode="External"/><Relationship Id="rId452" Type="http://schemas.openxmlformats.org/officeDocument/2006/relationships/hyperlink" Target="https://dyffw9lb8wur6.cloudfront.net/v360videos/n8hb9okj245.MP4?MTA3OTY=" TargetMode="External"/><Relationship Id="rId451" Type="http://schemas.openxmlformats.org/officeDocument/2006/relationships/hyperlink" Target="https://d1s5m21q2l18ke.cloudfront.net/plotting.html?n8hb9okj245" TargetMode="External"/><Relationship Id="rId450" Type="http://schemas.openxmlformats.org/officeDocument/2006/relationships/hyperlink" Target="https://d1s5m21q2l18ke.cloudfront.net/grey_mov_video/n8hb9okj245.MP4?MTA3OTY=" TargetMode="External"/><Relationship Id="rId45" Type="http://schemas.openxmlformats.org/officeDocument/2006/relationships/hyperlink" Target="https://d1g2oudknjs8jf.cloudfront.net/prodpolweb/fl_img/j10cb9koi20.JPG?MTA3OTY=" TargetMode="External"/><Relationship Id="rId449" Type="http://schemas.openxmlformats.org/officeDocument/2006/relationships/hyperlink" Target="https://d1s5m21q2l18ke.cloudfront.net/v360_mov/n8hb9okj245.HTML?sv=1&amp;displayAllSideview=1&amp;MTA3OTY=" TargetMode="External"/><Relationship Id="rId448" Type="http://schemas.openxmlformats.org/officeDocument/2006/relationships/hyperlink" Target="https://d1s5m21q2l18ke.cloudfront.net/VISION360/Vision360.html?d=n8hb9okj245&amp;surl=https://d1s5m21q2l18ke.cloudfront.net/v360_mov_black/&amp;sv=1&amp;displayAllSideview=1&amp;MTA3OTY=" TargetMode="External"/><Relationship Id="rId447" Type="http://schemas.openxmlformats.org/officeDocument/2006/relationships/hyperlink" Target="https://d1s5m21q2l18ke.cloudfront.net/VISION360/Vision360.html?d=n8hb9okj245&amp;surl=https://d1s5m21q2l18ke.cloudfront.net/v360_mov_grey/&amp;sv=1&amp;displayAllSideview=1&amp;MTA3OTY=" TargetMode="External"/><Relationship Id="rId446" Type="http://schemas.openxmlformats.org/officeDocument/2006/relationships/hyperlink" Target="https://d1g2oudknjs8jf.cloudfront.net/prodpolweb/imgg_file/n8hb9okj245.JPG?MTA3OTY=" TargetMode="External"/><Relationship Id="rId445" Type="http://schemas.openxmlformats.org/officeDocument/2006/relationships/hyperlink" Target="https://d1g2oudknjs8jf.cloudfront.net/prodpolweb/cert/GIAn8hb9okj245.PDF?MTA3OTY=" TargetMode="External"/><Relationship Id="rId444" Type="http://schemas.openxmlformats.org/officeDocument/2006/relationships/hyperlink" Target="https://d1g2oudknjs8jf.cloudfront.net/prodpolweb/asetimage/n3eb9okj218.JPG?MTA3OTY=" TargetMode="External"/><Relationship Id="rId443" Type="http://schemas.openxmlformats.org/officeDocument/2006/relationships/hyperlink" Target="https://dyffw9lb8wur6.cloudfront.net/v360videos/n3eb9okj218.MP4?MTA3OTY=" TargetMode="External"/><Relationship Id="rId442" Type="http://schemas.openxmlformats.org/officeDocument/2006/relationships/hyperlink" Target="https://d1s5m21q2l18ke.cloudfront.net/plotting.html?n3eb9okj218" TargetMode="External"/><Relationship Id="rId441" Type="http://schemas.openxmlformats.org/officeDocument/2006/relationships/hyperlink" Target="https://d1s5m21q2l18ke.cloudfront.net/grey_mov_video/n3eb9okj218.MP4?MTA3OTY=" TargetMode="External"/><Relationship Id="rId440" Type="http://schemas.openxmlformats.org/officeDocument/2006/relationships/hyperlink" Target="https://d1s5m21q2l18ke.cloudfront.net/v360_mov/n3eb9okj218.HTML?sv=1&amp;displayAllSideview=1&amp;MTA3OTY=" TargetMode="External"/><Relationship Id="rId44" Type="http://schemas.openxmlformats.org/officeDocument/2006/relationships/hyperlink" Target="https://d1s5m21q2l18ke.cloudfront.net/plotting.html?j10cb9koi20" TargetMode="External"/><Relationship Id="rId439" Type="http://schemas.openxmlformats.org/officeDocument/2006/relationships/hyperlink" Target="https://d1s5m21q2l18ke.cloudfront.net/VISION360/Vision360.html?d=n3eb9okj218&amp;surl=https://d1s5m21q2l18ke.cloudfront.net/v360_mov_black/&amp;sv=1&amp;displayAllSideview=1&amp;MTA3OTY=" TargetMode="External"/><Relationship Id="rId438" Type="http://schemas.openxmlformats.org/officeDocument/2006/relationships/hyperlink" Target="https://d1s5m21q2l18ke.cloudfront.net/VISION360/Vision360.html?d=n3eb9okj218&amp;surl=https://d1s5m21q2l18ke.cloudfront.net/v360_mov_grey/&amp;sv=1&amp;displayAllSideview=1&amp;MTA3OTY=" TargetMode="External"/><Relationship Id="rId437" Type="http://schemas.openxmlformats.org/officeDocument/2006/relationships/hyperlink" Target="https://d1g2oudknjs8jf.cloudfront.net/prodpolweb/imgg_file/n3eb9okj218.JPG?MTA3OTY=" TargetMode="External"/><Relationship Id="rId436" Type="http://schemas.openxmlformats.org/officeDocument/2006/relationships/hyperlink" Target="https://d1g2oudknjs8jf.cloudfront.net/prodpolweb/cert/GIAn3eb9okj218.PDF?MTA3OTY=" TargetMode="External"/><Relationship Id="rId435" Type="http://schemas.openxmlformats.org/officeDocument/2006/relationships/hyperlink" Target="https://d1g2oudknjs8jf.cloudfront.net/prodpolweb/asetimage/j4gb7pkj220.JPG?MTA3OTY=" TargetMode="External"/><Relationship Id="rId434" Type="http://schemas.openxmlformats.org/officeDocument/2006/relationships/hyperlink" Target="https://dyffw9lb8wur6.cloudfront.net/v360videos/j4gb7pkj220.MP4?MTA3OTY=" TargetMode="External"/><Relationship Id="rId433" Type="http://schemas.openxmlformats.org/officeDocument/2006/relationships/hyperlink" Target="https://d1s5m21q2l18ke.cloudfront.net/plotting.html?j4gb7pkj220" TargetMode="External"/><Relationship Id="rId432" Type="http://schemas.openxmlformats.org/officeDocument/2006/relationships/hyperlink" Target="https://d1s5m21q2l18ke.cloudfront.net/grey_mov_video/j4gb7pkj220.MP4?MTA3OTY=" TargetMode="External"/><Relationship Id="rId431" Type="http://schemas.openxmlformats.org/officeDocument/2006/relationships/hyperlink" Target="https://d1s5m21q2l18ke.cloudfront.net/v360_mov/j4gb7pkj220.HTML?sv=1&amp;displayAllSideview=1&amp;MTA3OTY=" TargetMode="External"/><Relationship Id="rId430" Type="http://schemas.openxmlformats.org/officeDocument/2006/relationships/hyperlink" Target="https://d1s5m21q2l18ke.cloudfront.net/VISION360/Vision360.html?d=j4gb7pkj220&amp;surl=https://d1s5m21q2l18ke.cloudfront.net/v360_mov_black/&amp;sv=1&amp;displayAllSideview=1&amp;MTA3OTY=" TargetMode="External"/><Relationship Id="rId43" Type="http://schemas.openxmlformats.org/officeDocument/2006/relationships/hyperlink" Target="https://d1s5m21q2l18ke.cloudfront.net/grey_mov_video/j10cb9koi20.MP4?MTA3OTY=" TargetMode="External"/><Relationship Id="rId429" Type="http://schemas.openxmlformats.org/officeDocument/2006/relationships/hyperlink" Target="https://d1s5m21q2l18ke.cloudfront.net/VISION360/Vision360.html?d=j4gb7pkj220&amp;surl=https://d1s5m21q2l18ke.cloudfront.net/v360_mov_grey/&amp;sv=1&amp;displayAllSideview=1&amp;MTA3OTY=" TargetMode="External"/><Relationship Id="rId428" Type="http://schemas.openxmlformats.org/officeDocument/2006/relationships/hyperlink" Target="https://d1g2oudknjs8jf.cloudfront.net/prodpolweb/imgg_file/j4gb7pkj220.JPG?MTA3OTY=" TargetMode="External"/><Relationship Id="rId427" Type="http://schemas.openxmlformats.org/officeDocument/2006/relationships/hyperlink" Target="https://d1g2oudknjs8jf.cloudfront.net/prodpolweb/cert/GIAj4gb7pkj220.PDF?MTA3OTY=" TargetMode="External"/><Relationship Id="rId426" Type="http://schemas.openxmlformats.org/officeDocument/2006/relationships/hyperlink" Target="https://d1g2oudknjs8jf.cloudfront.net/prodpolweb/asetimage/h2ed7oij26.JPG?MTA3OTY=" TargetMode="External"/><Relationship Id="rId425" Type="http://schemas.openxmlformats.org/officeDocument/2006/relationships/hyperlink" Target="https://dyffw9lb8wur6.cloudfront.net/v360videos/h2ed7oij26.MP4?MTA3OTY=" TargetMode="External"/><Relationship Id="rId424" Type="http://schemas.openxmlformats.org/officeDocument/2006/relationships/hyperlink" Target="https://d1s5m21q2l18ke.cloudfront.net/plotting.html?h2ed7oij26" TargetMode="External"/><Relationship Id="rId423" Type="http://schemas.openxmlformats.org/officeDocument/2006/relationships/hyperlink" Target="https://d1s5m21q2l18ke.cloudfront.net/grey_mov_video/h2ed7oij26.MP4?MTA3OTY=" TargetMode="External"/><Relationship Id="rId422" Type="http://schemas.openxmlformats.org/officeDocument/2006/relationships/hyperlink" Target="https://d1s5m21q2l18ke.cloudfront.net/v360_mov/h2ed7oij26.HTML?sv=1&amp;displayAllSideview=1&amp;MTA3OTY=" TargetMode="External"/><Relationship Id="rId421" Type="http://schemas.openxmlformats.org/officeDocument/2006/relationships/hyperlink" Target="https://d1s5m21q2l18ke.cloudfront.net/VISION360/Vision360.html?d=h2ed7oij26&amp;surl=https://d1s5m21q2l18ke.cloudfront.net/v360_mov_black/&amp;sv=1&amp;displayAllSideview=1&amp;MTA3OTY=" TargetMode="External"/><Relationship Id="rId420" Type="http://schemas.openxmlformats.org/officeDocument/2006/relationships/hyperlink" Target="https://d1s5m21q2l18ke.cloudfront.net/VISION360/Vision360.html?d=h2ed7oij26&amp;surl=https://d1s5m21q2l18ke.cloudfront.net/v360_mov_grey/&amp;sv=1&amp;displayAllSideview=1&amp;MTA3OTY=" TargetMode="External"/><Relationship Id="rId42" Type="http://schemas.openxmlformats.org/officeDocument/2006/relationships/hyperlink" Target="https://d1s5m21q2l18ke.cloudfront.net/v360_mov/j10cb9koi20.HTML?sv=1&amp;displayAllSideview=1&amp;MTA3OTY=" TargetMode="External"/><Relationship Id="rId419" Type="http://schemas.openxmlformats.org/officeDocument/2006/relationships/hyperlink" Target="https://d1g2oudknjs8jf.cloudfront.net/prodpolweb/imgg_file/h2ed7oij26.JPG?MTA3OTY=" TargetMode="External"/><Relationship Id="rId418" Type="http://schemas.openxmlformats.org/officeDocument/2006/relationships/hyperlink" Target="https://d1g2oudknjs8jf.cloudfront.net/prodpolweb/cert/GIAh2ed7oij26.PDF?MTA3OTY=" TargetMode="External"/><Relationship Id="rId417" Type="http://schemas.openxmlformats.org/officeDocument/2006/relationships/hyperlink" Target="https://d1g2oudknjs8jf.cloudfront.net/prodpolweb/asetimage/f1kb5mjj28.JPG?MTA3OTY=" TargetMode="External"/><Relationship Id="rId416" Type="http://schemas.openxmlformats.org/officeDocument/2006/relationships/hyperlink" Target="https://dyffw9lb8wur6.cloudfront.net/v360videos/f1kb5mjj28.MP4?MTA3OTY=" TargetMode="External"/><Relationship Id="rId415" Type="http://schemas.openxmlformats.org/officeDocument/2006/relationships/hyperlink" Target="https://d1s5m21q2l18ke.cloudfront.net/plotting.html?f1kb5mjj28" TargetMode="External"/><Relationship Id="rId414" Type="http://schemas.openxmlformats.org/officeDocument/2006/relationships/hyperlink" Target="https://d1s5m21q2l18ke.cloudfront.net/grey_mov_video/f1kb5mjj28.MP4?MTA3OTY=" TargetMode="External"/><Relationship Id="rId413" Type="http://schemas.openxmlformats.org/officeDocument/2006/relationships/hyperlink" Target="https://d1s5m21q2l18ke.cloudfront.net/v360_mov/f1kb5mjj28.HTML?sv=1&amp;displayAllSideview=1&amp;MTA3OTY=" TargetMode="External"/><Relationship Id="rId412" Type="http://schemas.openxmlformats.org/officeDocument/2006/relationships/hyperlink" Target="https://d1s5m21q2l18ke.cloudfront.net/VISION360/Vision360.html?d=f1kb5mjj28&amp;surl=https://d1s5m21q2l18ke.cloudfront.net/v360_mov_black/&amp;sv=1&amp;displayAllSideview=1&amp;MTA3OTY=" TargetMode="External"/><Relationship Id="rId411" Type="http://schemas.openxmlformats.org/officeDocument/2006/relationships/hyperlink" Target="https://d1s5m21q2l18ke.cloudfront.net/VISION360/Vision360.html?d=f1kb5mjj28&amp;surl=https://d1s5m21q2l18ke.cloudfront.net/v360_mov_grey/&amp;sv=1&amp;displayAllSideview=1&amp;MTA3OTY=" TargetMode="External"/><Relationship Id="rId410" Type="http://schemas.openxmlformats.org/officeDocument/2006/relationships/hyperlink" Target="https://d1g2oudknjs8jf.cloudfront.net/prodpolweb/imgg_file/f1kb5mjj28.JPG?MTA3OTY=" TargetMode="External"/><Relationship Id="rId41" Type="http://schemas.openxmlformats.org/officeDocument/2006/relationships/hyperlink" Target="https://d1s5m21q2l18ke.cloudfront.net/VISION360/Vision360.html?d=j10cb9koi20&amp;surl=https://d1s5m21q2l18ke.cloudfront.net/v360_mov_black/&amp;sv=1&amp;displayAllSideview=1&amp;MTA3OTY=" TargetMode="External"/><Relationship Id="rId409" Type="http://schemas.openxmlformats.org/officeDocument/2006/relationships/hyperlink" Target="https://d1g2oudknjs8jf.cloudfront.net/prodpolweb/cert/GIAf1kb5mjj28.PDF?MTA3OTY=" TargetMode="External"/><Relationship Id="rId408" Type="http://schemas.openxmlformats.org/officeDocument/2006/relationships/hyperlink" Target="https://d1g2oudknjs8jf.cloudfront.net/prodpolweb/asetimage/l5kb9rli256.JPG?MTA3OTY=" TargetMode="External"/><Relationship Id="rId407" Type="http://schemas.openxmlformats.org/officeDocument/2006/relationships/hyperlink" Target="https://dyffw9lb8wur6.cloudfront.net/v360videos/l5kb9rli256.MP4?MTA3OTY=" TargetMode="External"/><Relationship Id="rId406" Type="http://schemas.openxmlformats.org/officeDocument/2006/relationships/hyperlink" Target="https://d1s5m21q2l18ke.cloudfront.net/plotting.html?l5kb9rli256" TargetMode="External"/><Relationship Id="rId405" Type="http://schemas.openxmlformats.org/officeDocument/2006/relationships/hyperlink" Target="https://d1s5m21q2l18ke.cloudfront.net/white_mov_video/l5kb9rli256.MP4?MTA3OTY=" TargetMode="External"/><Relationship Id="rId404" Type="http://schemas.openxmlformats.org/officeDocument/2006/relationships/hyperlink" Target="https://d1s5m21q2l18ke.cloudfront.net/v360_mov/l5kb9rli256.HTML?sv=1&amp;displayAllSideview=1&amp;MTA3OTY=" TargetMode="External"/><Relationship Id="rId403" Type="http://schemas.openxmlformats.org/officeDocument/2006/relationships/hyperlink" Target="https://d1s5m21q2l18ke.cloudfront.net/VISION360/Vision360.html?d=l5kb9rli256&amp;surl=https://d1s5m21q2l18ke.cloudfront.net/v360_mov_black/&amp;sv=1&amp;displayAllSideview=1&amp;MTA3OTY=" TargetMode="External"/><Relationship Id="rId402" Type="http://schemas.openxmlformats.org/officeDocument/2006/relationships/hyperlink" Target="https://d1s5m21q2l18ke.cloudfront.net/VISION360/Vision360.html?d=l5kb9rli256&amp;surl=https://d1s5m21q2l18ke.cloudfront.net/v360_mov_white/&amp;sv=1&amp;displayAllSideview=1&amp;MTA3OTY=" TargetMode="External"/><Relationship Id="rId401" Type="http://schemas.openxmlformats.org/officeDocument/2006/relationships/hyperlink" Target="https://d1g2oudknjs8jf.cloudfront.net/prodpolweb/imgfiles/l5kb9rli256.JPG?MTA3OTY=" TargetMode="External"/><Relationship Id="rId400" Type="http://schemas.openxmlformats.org/officeDocument/2006/relationships/hyperlink" Target="https://d1g2oudknjs8jf.cloudfront.net/prodpolweb/cert/GIAl5kb9rli256.PDF?MTA3OTY=" TargetMode="External"/><Relationship Id="rId40" Type="http://schemas.openxmlformats.org/officeDocument/2006/relationships/hyperlink" Target="https://d1s5m21q2l18ke.cloudfront.net/VISION360/Vision360.html?d=j10cb9koi20&amp;surl=https://d1s5m21q2l18ke.cloudfront.net/v360_mov_grey/&amp;sv=1&amp;displayAllSideview=1&amp;MTA3OTY=" TargetMode="External"/><Relationship Id="rId4" Type="http://schemas.openxmlformats.org/officeDocument/2006/relationships/hyperlink" Target="https://d1s5m21q2l18ke.cloudfront.net/VISION360/Vision360.html?d=l1ib11ohi042&amp;surl=https://d1s5m21q2l18ke.cloudfront.net/v360_mov_black/&amp;sv=1&amp;displayAllSideview=1&amp;MTA3OTY=" TargetMode="External"/><Relationship Id="rId399" Type="http://schemas.openxmlformats.org/officeDocument/2006/relationships/hyperlink" Target="https://d1g2oudknjs8jf.cloudfront.net/prodpolweb/asetimage/j7jc7mjj235.JPG?MTA3OTY=" TargetMode="External"/><Relationship Id="rId398" Type="http://schemas.openxmlformats.org/officeDocument/2006/relationships/hyperlink" Target="https://dyffw9lb8wur6.cloudfront.net/v360videos/j7jc7mjj235.MP4?MTA3OTY=" TargetMode="External"/><Relationship Id="rId397" Type="http://schemas.openxmlformats.org/officeDocument/2006/relationships/hyperlink" Target="https://d1g2oudknjs8jf.cloudfront.net/prodpolweb/fl_img/j7jc7mjj235.PNG?MTA3OTY=" TargetMode="External"/><Relationship Id="rId396" Type="http://schemas.openxmlformats.org/officeDocument/2006/relationships/hyperlink" Target="https://d1s5m21q2l18ke.cloudfront.net/plotting.html?j7jc7mjj235" TargetMode="External"/><Relationship Id="rId395" Type="http://schemas.openxmlformats.org/officeDocument/2006/relationships/hyperlink" Target="https://d1s5m21q2l18ke.cloudfront.net/grey_mov_video/j7jc7mjj235.MP4?MTA3OTY=" TargetMode="External"/><Relationship Id="rId394" Type="http://schemas.openxmlformats.org/officeDocument/2006/relationships/hyperlink" Target="https://d1s5m21q2l18ke.cloudfront.net/v360_mov/j7jc7mjj235.HTML?sv=1&amp;displayAllSideview=1&amp;MTA3OTY=" TargetMode="External"/><Relationship Id="rId393" Type="http://schemas.openxmlformats.org/officeDocument/2006/relationships/hyperlink" Target="https://d1s5m21q2l18ke.cloudfront.net/VISION360/Vision360.html?d=j7jc7mjj235&amp;surl=https://d1s5m21q2l18ke.cloudfront.net/v360_mov_black/&amp;sv=1&amp;displayAllSideview=1&amp;MTA3OTY=" TargetMode="External"/><Relationship Id="rId392" Type="http://schemas.openxmlformats.org/officeDocument/2006/relationships/hyperlink" Target="https://d1s5m21q2l18ke.cloudfront.net/VISION360/Vision360.html?d=j7jc7mjj235&amp;surl=https://d1s5m21q2l18ke.cloudfront.net/v360_mov_grey/&amp;sv=1&amp;displayAllSideview=1&amp;MTA3OTY=" TargetMode="External"/><Relationship Id="rId391" Type="http://schemas.openxmlformats.org/officeDocument/2006/relationships/hyperlink" Target="https://d1g2oudknjs8jf.cloudfront.net/prodpolweb/imgg_file/j7jc7mjj235.JPG?MTA3OTY=" TargetMode="External"/><Relationship Id="rId390" Type="http://schemas.openxmlformats.org/officeDocument/2006/relationships/hyperlink" Target="https://d1g2oudknjs8jf.cloudfront.net/prodpolweb/cert/GIAj7jc7mjj235.PDF?MTA3OTY=" TargetMode="External"/><Relationship Id="rId39" Type="http://schemas.openxmlformats.org/officeDocument/2006/relationships/hyperlink" Target="https://d1g2oudknjs8jf.cloudfront.net/prodpolweb/imgg_file/j10cb9koi20.JPG?MTA3OTY=" TargetMode="External"/><Relationship Id="rId389" Type="http://schemas.openxmlformats.org/officeDocument/2006/relationships/hyperlink" Target="https://d1g2oudknjs8jf.cloudfront.net/prodpolweb/asetimage/l1jb5njj249.JPG?MTA3OTY=" TargetMode="External"/><Relationship Id="rId388" Type="http://schemas.openxmlformats.org/officeDocument/2006/relationships/hyperlink" Target="https://dyffw9lb8wur6.cloudfront.net/v360videos/l1jb5njj249.MP4?MTA3OTY=" TargetMode="External"/><Relationship Id="rId387" Type="http://schemas.openxmlformats.org/officeDocument/2006/relationships/hyperlink" Target="https://d1s5m21q2l18ke.cloudfront.net/plotting.html?l1jb5njj249" TargetMode="External"/><Relationship Id="rId386" Type="http://schemas.openxmlformats.org/officeDocument/2006/relationships/hyperlink" Target="https://d1s5m21q2l18ke.cloudfront.net/grey_mov_video/l1jb5njj249.MP4?MTA3OTY=" TargetMode="External"/><Relationship Id="rId385" Type="http://schemas.openxmlformats.org/officeDocument/2006/relationships/hyperlink" Target="https://d1s5m21q2l18ke.cloudfront.net/v360_mov/l1jb5njj249.HTML?sv=1&amp;displayAllSideview=1&amp;MTA3OTY=" TargetMode="External"/><Relationship Id="rId384" Type="http://schemas.openxmlformats.org/officeDocument/2006/relationships/hyperlink" Target="https://d1s5m21q2l18ke.cloudfront.net/VISION360/Vision360.html?d=l1jb5njj249&amp;surl=https://d1s5m21q2l18ke.cloudfront.net/v360_mov_black/&amp;sv=1&amp;displayAllSideview=1&amp;MTA3OTY=" TargetMode="External"/><Relationship Id="rId383" Type="http://schemas.openxmlformats.org/officeDocument/2006/relationships/hyperlink" Target="https://d1s5m21q2l18ke.cloudfront.net/VISION360/Vision360.html?d=l1jb5njj249&amp;surl=https://d1s5m21q2l18ke.cloudfront.net/v360_mov_grey/&amp;sv=1&amp;displayAllSideview=1&amp;MTA3OTY=" TargetMode="External"/><Relationship Id="rId382" Type="http://schemas.openxmlformats.org/officeDocument/2006/relationships/hyperlink" Target="https://d1g2oudknjs8jf.cloudfront.net/prodpolweb/imgg_file/l1jb5njj249.JPG?MTA3OTY=" TargetMode="External"/><Relationship Id="rId381" Type="http://schemas.openxmlformats.org/officeDocument/2006/relationships/hyperlink" Target="https://d1g2oudknjs8jf.cloudfront.net/prodpolweb/cert/GIAl1jb5njj249.PDF?MTA3OTY=" TargetMode="External"/><Relationship Id="rId380" Type="http://schemas.openxmlformats.org/officeDocument/2006/relationships/hyperlink" Target="https://d1g2oudknjs8jf.cloudfront.net/prodpolweb/asetimage/n4cd7oij20.JPG?MTA3OTY=" TargetMode="External"/><Relationship Id="rId38" Type="http://schemas.openxmlformats.org/officeDocument/2006/relationships/hyperlink" Target="https://d1g2oudknjs8jf.cloudfront.net/prodpolweb/cert/GIAj10cb9koi20.PDF?MTA3OTY=" TargetMode="External"/><Relationship Id="rId379" Type="http://schemas.openxmlformats.org/officeDocument/2006/relationships/hyperlink" Target="https://dyffw9lb8wur6.cloudfront.net/v360videos/n4cd7oij20.MP4?MTA3OTY=" TargetMode="External"/><Relationship Id="rId378" Type="http://schemas.openxmlformats.org/officeDocument/2006/relationships/hyperlink" Target="https://d1s5m21q2l18ke.cloudfront.net/plotting.html?n4cd7oij20" TargetMode="External"/><Relationship Id="rId377" Type="http://schemas.openxmlformats.org/officeDocument/2006/relationships/hyperlink" Target="https://d1s5m21q2l18ke.cloudfront.net/grey_mov_video/n4cd7oij20.MP4?MTA3OTY=" TargetMode="External"/><Relationship Id="rId376" Type="http://schemas.openxmlformats.org/officeDocument/2006/relationships/hyperlink" Target="https://d1s5m21q2l18ke.cloudfront.net/v360_mov/n4cd7oij20.HTML?sv=1&amp;displayAllSideview=1&amp;MTA3OTY=" TargetMode="External"/><Relationship Id="rId375" Type="http://schemas.openxmlformats.org/officeDocument/2006/relationships/hyperlink" Target="https://d1s5m21q2l18ke.cloudfront.net/VISION360/Vision360.html?d=n4cd7oij20&amp;surl=https://d1s5m21q2l18ke.cloudfront.net/v360_mov_black/&amp;sv=1&amp;displayAllSideview=1&amp;MTA3OTY=" TargetMode="External"/><Relationship Id="rId374" Type="http://schemas.openxmlformats.org/officeDocument/2006/relationships/hyperlink" Target="https://d1s5m21q2l18ke.cloudfront.net/VISION360/Vision360.html?d=n4cd7oij20&amp;surl=https://d1s5m21q2l18ke.cloudfront.net/v360_mov_grey/&amp;sv=1&amp;displayAllSideview=1&amp;MTA3OTY=" TargetMode="External"/><Relationship Id="rId373" Type="http://schemas.openxmlformats.org/officeDocument/2006/relationships/hyperlink" Target="https://d1g2oudknjs8jf.cloudfront.net/prodpolweb/imgg_file/n4cd7oij20.JPG?MTA3OTY=" TargetMode="External"/><Relationship Id="rId372" Type="http://schemas.openxmlformats.org/officeDocument/2006/relationships/hyperlink" Target="https://d1g2oudknjs8jf.cloudfront.net/prodpolweb/cert/GIAn4cd7oij20.PDF?MTA3OTY=" TargetMode="External"/><Relationship Id="rId371" Type="http://schemas.openxmlformats.org/officeDocument/2006/relationships/hyperlink" Target="https://d1g2oudknjs8jf.cloudfront.net/prodpolweb/asetimage/j2fb7nij215.JPG?MTA3OTY=" TargetMode="External"/><Relationship Id="rId370" Type="http://schemas.openxmlformats.org/officeDocument/2006/relationships/hyperlink" Target="https://dyffw9lb8wur6.cloudfront.net/v360videos/j2fb7nij215.MP4?MTA3OTY=" TargetMode="External"/><Relationship Id="rId37" Type="http://schemas.openxmlformats.org/officeDocument/2006/relationships/hyperlink" Target="https://d1g2oudknjs8jf.cloudfront.net/prodpolweb/asetimage/h7cc5pkj20.JPG?MTA3OTY=" TargetMode="External"/><Relationship Id="rId369" Type="http://schemas.openxmlformats.org/officeDocument/2006/relationships/hyperlink" Target="https://d1s5m21q2l18ke.cloudfront.net/plotting.html?j2fb7nij215" TargetMode="External"/><Relationship Id="rId368" Type="http://schemas.openxmlformats.org/officeDocument/2006/relationships/hyperlink" Target="https://d1s5m21q2l18ke.cloudfront.net/grey_mov_video/j2fb7nij215.MP4?MTA3OTY=" TargetMode="External"/><Relationship Id="rId367" Type="http://schemas.openxmlformats.org/officeDocument/2006/relationships/hyperlink" Target="https://d1s5m21q2l18ke.cloudfront.net/v360_mov/j2fb7nij215.HTML?sv=1&amp;displayAllSideview=1&amp;MTA3OTY=" TargetMode="External"/><Relationship Id="rId366" Type="http://schemas.openxmlformats.org/officeDocument/2006/relationships/hyperlink" Target="https://d1s5m21q2l18ke.cloudfront.net/VISION360/Vision360.html?d=j2fb7nij215&amp;surl=https://d1s5m21q2l18ke.cloudfront.net/v360_mov_black/&amp;sv=1&amp;displayAllSideview=1&amp;MTA3OTY=" TargetMode="External"/><Relationship Id="rId365" Type="http://schemas.openxmlformats.org/officeDocument/2006/relationships/hyperlink" Target="https://d1s5m21q2l18ke.cloudfront.net/VISION360/Vision360.html?d=j2fb7nij215&amp;surl=https://d1s5m21q2l18ke.cloudfront.net/v360_mov_grey/&amp;sv=1&amp;displayAllSideview=1&amp;MTA3OTY=" TargetMode="External"/><Relationship Id="rId364" Type="http://schemas.openxmlformats.org/officeDocument/2006/relationships/hyperlink" Target="https://d1g2oudknjs8jf.cloudfront.net/prodpolweb/imgg_file/j2fb7nij215.JPG?MTA3OTY=" TargetMode="External"/><Relationship Id="rId363" Type="http://schemas.openxmlformats.org/officeDocument/2006/relationships/hyperlink" Target="https://d1g2oudknjs8jf.cloudfront.net/prodpolweb/cert/GIAj2fb7nij215.PDF?MTA3OTY=" TargetMode="External"/><Relationship Id="rId362" Type="http://schemas.openxmlformats.org/officeDocument/2006/relationships/hyperlink" Target="https://d1g2oudknjs8jf.cloudfront.net/prodpolweb/asetimage/l7ec5pkj214.JPG?MTA3OTY=" TargetMode="External"/><Relationship Id="rId361" Type="http://schemas.openxmlformats.org/officeDocument/2006/relationships/hyperlink" Target="https://dyffw9lb8wur6.cloudfront.net/v360videos/l7ec5pkj214.MP4?MTA3OTY=" TargetMode="External"/><Relationship Id="rId360" Type="http://schemas.openxmlformats.org/officeDocument/2006/relationships/hyperlink" Target="https://d1s5m21q2l18ke.cloudfront.net/plotting.html?l7ec5pkj214" TargetMode="External"/><Relationship Id="rId36" Type="http://schemas.openxmlformats.org/officeDocument/2006/relationships/hyperlink" Target="https://dyffw9lb8wur6.cloudfront.net/v360videos/h7cc5pkj20.MP4?MTA3OTY=" TargetMode="External"/><Relationship Id="rId359" Type="http://schemas.openxmlformats.org/officeDocument/2006/relationships/hyperlink" Target="https://d1s5m21q2l18ke.cloudfront.net/grey_mov_video/l7ec5pkj214.MP4?MTA3OTY=" TargetMode="External"/><Relationship Id="rId358" Type="http://schemas.openxmlformats.org/officeDocument/2006/relationships/hyperlink" Target="https://d1s5m21q2l18ke.cloudfront.net/v360_mov/l7ec5pkj214.HTML?sv=1&amp;displayAllSideview=1&amp;MTA3OTY=" TargetMode="External"/><Relationship Id="rId357" Type="http://schemas.openxmlformats.org/officeDocument/2006/relationships/hyperlink" Target="https://d1s5m21q2l18ke.cloudfront.net/VISION360/Vision360.html?d=l7ec5pkj214&amp;surl=https://d1s5m21q2l18ke.cloudfront.net/v360_mov_black/&amp;sv=1&amp;displayAllSideview=1&amp;MTA3OTY=" TargetMode="External"/><Relationship Id="rId356" Type="http://schemas.openxmlformats.org/officeDocument/2006/relationships/hyperlink" Target="https://d1s5m21q2l18ke.cloudfront.net/VISION360/Vision360.html?d=l7ec5pkj214&amp;surl=https://d1s5m21q2l18ke.cloudfront.net/v360_mov_grey/&amp;sv=1&amp;displayAllSideview=1&amp;MTA3OTY=" TargetMode="External"/><Relationship Id="rId355" Type="http://schemas.openxmlformats.org/officeDocument/2006/relationships/hyperlink" Target="https://d1g2oudknjs8jf.cloudfront.net/prodpolweb/imgg_file/l7ec5pkj214.JPG?MTA3OTY=" TargetMode="External"/><Relationship Id="rId354" Type="http://schemas.openxmlformats.org/officeDocument/2006/relationships/hyperlink" Target="https://d1g2oudknjs8jf.cloudfront.net/prodpolweb/cert/GIAl7ec5pkj214.PDF?MTA3OTY=" TargetMode="External"/><Relationship Id="rId353" Type="http://schemas.openxmlformats.org/officeDocument/2006/relationships/hyperlink" Target="https://d1g2oudknjs8jf.cloudfront.net/prodpolweb/asetimage/j8eb5mlj210.JPG?MTA3OTY=" TargetMode="External"/><Relationship Id="rId352" Type="http://schemas.openxmlformats.org/officeDocument/2006/relationships/hyperlink" Target="https://dyffw9lb8wur6.cloudfront.net/v360videos/j8eb5mlj210.MP4?MTA3OTY=" TargetMode="External"/><Relationship Id="rId351" Type="http://schemas.openxmlformats.org/officeDocument/2006/relationships/hyperlink" Target="https://d1s5m21q2l18ke.cloudfront.net/plotting.html?j8eb5mlj210" TargetMode="External"/><Relationship Id="rId350" Type="http://schemas.openxmlformats.org/officeDocument/2006/relationships/hyperlink" Target="https://d1s5m21q2l18ke.cloudfront.net/grey_mov_video/j8eb5mlj210.MP4?MTA3OTY=" TargetMode="External"/><Relationship Id="rId35" Type="http://schemas.openxmlformats.org/officeDocument/2006/relationships/hyperlink" Target="https://d1s5m21q2l18ke.cloudfront.net/plotting.html?h7cc5pkj20" TargetMode="External"/><Relationship Id="rId349" Type="http://schemas.openxmlformats.org/officeDocument/2006/relationships/hyperlink" Target="https://d1s5m21q2l18ke.cloudfront.net/v360_mov/j8eb5mlj210.HTML?sv=1&amp;displayAllSideview=1&amp;MTA3OTY=" TargetMode="External"/><Relationship Id="rId348" Type="http://schemas.openxmlformats.org/officeDocument/2006/relationships/hyperlink" Target="https://d1s5m21q2l18ke.cloudfront.net/VISION360/Vision360.html?d=j8eb5mlj210&amp;surl=https://d1s5m21q2l18ke.cloudfront.net/v360_mov_black/&amp;sv=1&amp;displayAllSideview=1&amp;MTA3OTY=" TargetMode="External"/><Relationship Id="rId347" Type="http://schemas.openxmlformats.org/officeDocument/2006/relationships/hyperlink" Target="https://d1s5m21q2l18ke.cloudfront.net/VISION360/Vision360.html?d=j8eb5mlj210&amp;surl=https://d1s5m21q2l18ke.cloudfront.net/v360_mov_grey/&amp;sv=1&amp;displayAllSideview=1&amp;MTA3OTY=" TargetMode="External"/><Relationship Id="rId346" Type="http://schemas.openxmlformats.org/officeDocument/2006/relationships/hyperlink" Target="https://d1g2oudknjs8jf.cloudfront.net/prodpolweb/imgg_file/j8eb5mlj210.JPG?MTA3OTY=" TargetMode="External"/><Relationship Id="rId345" Type="http://schemas.openxmlformats.org/officeDocument/2006/relationships/hyperlink" Target="https://d1g2oudknjs8jf.cloudfront.net/prodpolweb/cert/GIAj8eb5mlj210.PDF?MTA3OTY=" TargetMode="External"/><Relationship Id="rId344" Type="http://schemas.openxmlformats.org/officeDocument/2006/relationships/hyperlink" Target="https://d1g2oudknjs8jf.cloudfront.net/prodpolweb/asetimage/l4gb3khj228.JPG?MTA3OTY=" TargetMode="External"/><Relationship Id="rId343" Type="http://schemas.openxmlformats.org/officeDocument/2006/relationships/hyperlink" Target="https://dyffw9lb8wur6.cloudfront.net/v360videos/l4gb3khj228.MP4?MTA3OTY=" TargetMode="External"/><Relationship Id="rId342" Type="http://schemas.openxmlformats.org/officeDocument/2006/relationships/hyperlink" Target="https://d1s5m21q2l18ke.cloudfront.net/plotting.html?l4gb3khj228" TargetMode="External"/><Relationship Id="rId341" Type="http://schemas.openxmlformats.org/officeDocument/2006/relationships/hyperlink" Target="https://d1s5m21q2l18ke.cloudfront.net/grey_mov_video/l4gb3khj228.MP4?MTA3OTY=" TargetMode="External"/><Relationship Id="rId340" Type="http://schemas.openxmlformats.org/officeDocument/2006/relationships/hyperlink" Target="https://d1s5m21q2l18ke.cloudfront.net/v360_mov/l4gb3khj228.HTML?sv=1&amp;displayAllSideview=1&amp;MTA3OTY=" TargetMode="External"/><Relationship Id="rId34" Type="http://schemas.openxmlformats.org/officeDocument/2006/relationships/hyperlink" Target="https://d1s5m21q2l18ke.cloudfront.net/grey_mov_video/h7cc5pkj20.MP4?MTA3OTY=" TargetMode="External"/><Relationship Id="rId339" Type="http://schemas.openxmlformats.org/officeDocument/2006/relationships/hyperlink" Target="https://d1s5m21q2l18ke.cloudfront.net/VISION360/Vision360.html?d=l4gb3khj228&amp;surl=https://d1s5m21q2l18ke.cloudfront.net/v360_mov_black/&amp;sv=1&amp;displayAllSideview=1&amp;MTA3OTY=" TargetMode="External"/><Relationship Id="rId338" Type="http://schemas.openxmlformats.org/officeDocument/2006/relationships/hyperlink" Target="https://d1s5m21q2l18ke.cloudfront.net/VISION360/Vision360.html?d=l4gb3khj228&amp;surl=https://d1s5m21q2l18ke.cloudfront.net/v360_mov_grey/&amp;sv=1&amp;displayAllSideview=1&amp;MTA3OTY=" TargetMode="External"/><Relationship Id="rId337" Type="http://schemas.openxmlformats.org/officeDocument/2006/relationships/hyperlink" Target="https://d1g2oudknjs8jf.cloudfront.net/prodpolweb/imgg_file/l4gb3khj228.JPG?MTA3OTY=" TargetMode="External"/><Relationship Id="rId336" Type="http://schemas.openxmlformats.org/officeDocument/2006/relationships/hyperlink" Target="https://d1g2oudknjs8jf.cloudfront.net/prodpolweb/cert/GIAl4gb3khj228.PDF?MTA3OTY=" TargetMode="External"/><Relationship Id="rId335" Type="http://schemas.openxmlformats.org/officeDocument/2006/relationships/hyperlink" Target="https://d1g2oudknjs8jf.cloudfront.net/prodpolweb/asetimage/f3lb5njj29.JPG?MTA3OTY=" TargetMode="External"/><Relationship Id="rId334" Type="http://schemas.openxmlformats.org/officeDocument/2006/relationships/hyperlink" Target="https://dyffw9lb8wur6.cloudfront.net/v360videos/f3lb5njj29.MP4?MTA3OTY=" TargetMode="External"/><Relationship Id="rId333" Type="http://schemas.openxmlformats.org/officeDocument/2006/relationships/hyperlink" Target="https://d1g2oudknjs8jf.cloudfront.net/prodpolweb/fl_img/f3lb5njj29.PNG?MTA3OTY=" TargetMode="External"/><Relationship Id="rId332" Type="http://schemas.openxmlformats.org/officeDocument/2006/relationships/hyperlink" Target="https://d1s5m21q2l18ke.cloudfront.net/plotting.html?f3lb5njj29" TargetMode="External"/><Relationship Id="rId331" Type="http://schemas.openxmlformats.org/officeDocument/2006/relationships/hyperlink" Target="https://d1s5m21q2l18ke.cloudfront.net/grey_mov_video/f3lb5njj29.MP4?MTA3OTY=" TargetMode="External"/><Relationship Id="rId330" Type="http://schemas.openxmlformats.org/officeDocument/2006/relationships/hyperlink" Target="https://d1s5m21q2l18ke.cloudfront.net/v360_mov/f3lb5njj29.HTML?sv=1&amp;displayAllSideview=1&amp;MTA3OTY=" TargetMode="External"/><Relationship Id="rId33" Type="http://schemas.openxmlformats.org/officeDocument/2006/relationships/hyperlink" Target="https://d1s5m21q2l18ke.cloudfront.net/v360_mov/h7cc5pkj20.HTML?sv=1&amp;displayAllSideview=1&amp;MTA3OTY=" TargetMode="External"/><Relationship Id="rId329" Type="http://schemas.openxmlformats.org/officeDocument/2006/relationships/hyperlink" Target="https://d1s5m21q2l18ke.cloudfront.net/VISION360/Vision360.html?d=f3lb5njj29&amp;surl=https://d1s5m21q2l18ke.cloudfront.net/v360_mov_black/&amp;sv=1&amp;displayAllSideview=1&amp;MTA3OTY=" TargetMode="External"/><Relationship Id="rId328" Type="http://schemas.openxmlformats.org/officeDocument/2006/relationships/hyperlink" Target="https://d1s5m21q2l18ke.cloudfront.net/VISION360/Vision360.html?d=f3lb5njj29&amp;surl=https://d1s5m21q2l18ke.cloudfront.net/v360_mov_grey/&amp;sv=1&amp;displayAllSideview=1&amp;MTA3OTY=" TargetMode="External"/><Relationship Id="rId327" Type="http://schemas.openxmlformats.org/officeDocument/2006/relationships/hyperlink" Target="https://d1g2oudknjs8jf.cloudfront.net/prodpolweb/imgg_file/f3lb5njj29.JPG?MTA3OTY=" TargetMode="External"/><Relationship Id="rId326" Type="http://schemas.openxmlformats.org/officeDocument/2006/relationships/hyperlink" Target="https://d1g2oudknjs8jf.cloudfront.net/prodpolweb/cert/GIAf3lb5njj29.PDF?MTA3OTY=" TargetMode="External"/><Relationship Id="rId325" Type="http://schemas.openxmlformats.org/officeDocument/2006/relationships/hyperlink" Target="https://d1g2oudknjs8jf.cloudfront.net/prodpolweb/asetimage/n10fb3phi027.JPG?MTA3OTY=" TargetMode="External"/><Relationship Id="rId324" Type="http://schemas.openxmlformats.org/officeDocument/2006/relationships/hyperlink" Target="https://dyffw9lb8wur6.cloudfront.net/v360videos/n10fb3phi027.MP4?MTA3OTY=" TargetMode="External"/><Relationship Id="rId323" Type="http://schemas.openxmlformats.org/officeDocument/2006/relationships/hyperlink" Target="https://d1s5m21q2l18ke.cloudfront.net/plotting.html?n10fb3phi027" TargetMode="External"/><Relationship Id="rId322" Type="http://schemas.openxmlformats.org/officeDocument/2006/relationships/hyperlink" Target="https://d1s5m21q2l18ke.cloudfront.net/white_mov_video/n10fb3phi027.MP4?MTA3OTY=" TargetMode="External"/><Relationship Id="rId321" Type="http://schemas.openxmlformats.org/officeDocument/2006/relationships/hyperlink" Target="https://d1s5m21q2l18ke.cloudfront.net/v360_mov/n10fb3phi027.HTML?sv=1&amp;displayAllSideview=1&amp;MTA3OTY=" TargetMode="External"/><Relationship Id="rId320" Type="http://schemas.openxmlformats.org/officeDocument/2006/relationships/hyperlink" Target="https://d1s5m21q2l18ke.cloudfront.net/VISION360/Vision360.html?d=n10fb3phi027&amp;surl=https://d1s5m21q2l18ke.cloudfront.net/v360_mov_black/&amp;sv=1&amp;displayAllSideview=1&amp;MTA3OTY=" TargetMode="External"/><Relationship Id="rId32" Type="http://schemas.openxmlformats.org/officeDocument/2006/relationships/hyperlink" Target="https://d1s5m21q2l18ke.cloudfront.net/VISION360/Vision360.html?d=h7cc5pkj20&amp;surl=https://d1s5m21q2l18ke.cloudfront.net/v360_mov_black/&amp;sv=1&amp;displayAllSideview=1&amp;MTA3OTY=" TargetMode="External"/><Relationship Id="rId319" Type="http://schemas.openxmlformats.org/officeDocument/2006/relationships/hyperlink" Target="https://d1s5m21q2l18ke.cloudfront.net/VISION360/Vision360.html?d=n10fb3phi027&amp;surl=https://d1s5m21q2l18ke.cloudfront.net/v360_mov_white/&amp;sv=1&amp;displayAllSideview=1&amp;MTA3OTY=" TargetMode="External"/><Relationship Id="rId318" Type="http://schemas.openxmlformats.org/officeDocument/2006/relationships/hyperlink" Target="https://d1g2oudknjs8jf.cloudfront.net/prodpolweb/imgfiles/n10fb3phi027.JPG?MTA3OTY=" TargetMode="External"/><Relationship Id="rId317" Type="http://schemas.openxmlformats.org/officeDocument/2006/relationships/hyperlink" Target="https://d1g2oudknjs8jf.cloudfront.net/prodpolweb/cert/GIAn10fb3phi027.PDF?MTA3OTY=" TargetMode="External"/><Relationship Id="rId316" Type="http://schemas.openxmlformats.org/officeDocument/2006/relationships/hyperlink" Target="https://d1g2oudknjs8jf.cloudfront.net/prodpolweb/asetimage/l2jb3qjj249.JPG?MTA3OTY=" TargetMode="External"/><Relationship Id="rId315" Type="http://schemas.openxmlformats.org/officeDocument/2006/relationships/hyperlink" Target="https://dyffw9lb8wur6.cloudfront.net/v360videos/l2jb3qjj249.MP4?MTA3OTY=" TargetMode="External"/><Relationship Id="rId314" Type="http://schemas.openxmlformats.org/officeDocument/2006/relationships/hyperlink" Target="https://d1s5m21q2l18ke.cloudfront.net/plotting.html?l2jb3qjj249" TargetMode="External"/><Relationship Id="rId313" Type="http://schemas.openxmlformats.org/officeDocument/2006/relationships/hyperlink" Target="https://d1s5m21q2l18ke.cloudfront.net/grey_mov_video/l2jb3qjj249.MP4?MTA3OTY=" TargetMode="External"/><Relationship Id="rId312" Type="http://schemas.openxmlformats.org/officeDocument/2006/relationships/hyperlink" Target="https://d1s5m21q2l18ke.cloudfront.net/v360_mov/l2jb3qjj249.HTML?sv=1&amp;displayAllSideview=1&amp;MTA3OTY=" TargetMode="External"/><Relationship Id="rId311" Type="http://schemas.openxmlformats.org/officeDocument/2006/relationships/hyperlink" Target="https://d1s5m21q2l18ke.cloudfront.net/VISION360/Vision360.html?d=l2jb3qjj249&amp;surl=https://d1s5m21q2l18ke.cloudfront.net/v360_mov_black/&amp;sv=1&amp;displayAllSideview=1&amp;MTA3OTY=" TargetMode="External"/><Relationship Id="rId310" Type="http://schemas.openxmlformats.org/officeDocument/2006/relationships/hyperlink" Target="https://d1s5m21q2l18ke.cloudfront.net/VISION360/Vision360.html?d=l2jb3qjj249&amp;surl=https://d1s5m21q2l18ke.cloudfront.net/v360_mov_grey/&amp;sv=1&amp;displayAllSideview=1&amp;MTA3OTY=" TargetMode="External"/><Relationship Id="rId31" Type="http://schemas.openxmlformats.org/officeDocument/2006/relationships/hyperlink" Target="https://d1s5m21q2l18ke.cloudfront.net/VISION360/Vision360.html?d=h7cc5pkj20&amp;surl=https://d1s5m21q2l18ke.cloudfront.net/v360_mov_grey/&amp;sv=1&amp;displayAllSideview=1&amp;MTA3OTY=" TargetMode="External"/><Relationship Id="rId309" Type="http://schemas.openxmlformats.org/officeDocument/2006/relationships/hyperlink" Target="https://d1g2oudknjs8jf.cloudfront.net/prodpolweb/imgg_file/l2jb3qjj249.JPG?MTA3OTY=" TargetMode="External"/><Relationship Id="rId308" Type="http://schemas.openxmlformats.org/officeDocument/2006/relationships/hyperlink" Target="https://d1g2oudknjs8jf.cloudfront.net/prodpolweb/cert/GIAl2jb3qjj249.PDF?MTA3OTY=" TargetMode="External"/><Relationship Id="rId307" Type="http://schemas.openxmlformats.org/officeDocument/2006/relationships/hyperlink" Target="https://d1g2oudknjs8jf.cloudfront.net/prodpolweb/asetimage/l5lb5pkj263.JPG?MTA3OTY=" TargetMode="External"/><Relationship Id="rId306" Type="http://schemas.openxmlformats.org/officeDocument/2006/relationships/hyperlink" Target="https://dyffw9lb8wur6.cloudfront.net/v360videos/l5lb5pkj263.MP4?MTA3OTY=" TargetMode="External"/><Relationship Id="rId305" Type="http://schemas.openxmlformats.org/officeDocument/2006/relationships/hyperlink" Target="https://d1s5m21q2l18ke.cloudfront.net/plotting.html?l5lb5pkj263" TargetMode="External"/><Relationship Id="rId304" Type="http://schemas.openxmlformats.org/officeDocument/2006/relationships/hyperlink" Target="https://d1s5m21q2l18ke.cloudfront.net/grey_mov_video/l5lb5pkj263.MP4?MTA3OTY=" TargetMode="External"/><Relationship Id="rId303" Type="http://schemas.openxmlformats.org/officeDocument/2006/relationships/hyperlink" Target="https://d1s5m21q2l18ke.cloudfront.net/v360_mov/l5lb5pkj263.HTML?sv=1&amp;displayAllSideview=1&amp;MTA3OTY=" TargetMode="External"/><Relationship Id="rId302" Type="http://schemas.openxmlformats.org/officeDocument/2006/relationships/hyperlink" Target="https://d1s5m21q2l18ke.cloudfront.net/VISION360/Vision360.html?d=l5lb5pkj263&amp;surl=https://d1s5m21q2l18ke.cloudfront.net/v360_mov_black/&amp;sv=1&amp;displayAllSideview=1&amp;MTA3OTY=" TargetMode="External"/><Relationship Id="rId301" Type="http://schemas.openxmlformats.org/officeDocument/2006/relationships/hyperlink" Target="https://d1s5m21q2l18ke.cloudfront.net/VISION360/Vision360.html?d=l5lb5pkj263&amp;surl=https://d1s5m21q2l18ke.cloudfront.net/v360_mov_grey/&amp;sv=1&amp;displayAllSideview=1&amp;MTA3OTY=" TargetMode="External"/><Relationship Id="rId300" Type="http://schemas.openxmlformats.org/officeDocument/2006/relationships/hyperlink" Target="https://d1g2oudknjs8jf.cloudfront.net/prodpolweb/imgg_file/l5lb5pkj263.JPG?MTA3OTY=" TargetMode="External"/><Relationship Id="rId30" Type="http://schemas.openxmlformats.org/officeDocument/2006/relationships/hyperlink" Target="https://d1g2oudknjs8jf.cloudfront.net/prodpolweb/imgg_file/h7cc5pkj20.JPG?MTA3OTY=" TargetMode="External"/><Relationship Id="rId3" Type="http://schemas.openxmlformats.org/officeDocument/2006/relationships/hyperlink" Target="https://d1s5m21q2l18ke.cloudfront.net/VISION360/Vision360.html?d=l1ib11ohi042&amp;surl=https://d1s5m21q2l18ke.cloudfront.net/v360_mov_white/&amp;sv=1&amp;displayAllSideview=1&amp;MTA3OTY=" TargetMode="External"/><Relationship Id="rId299" Type="http://schemas.openxmlformats.org/officeDocument/2006/relationships/hyperlink" Target="https://d1g2oudknjs8jf.cloudfront.net/prodpolweb/cert/GIAl5lb5pkj263.PDF?MTA3OTY=" TargetMode="External"/><Relationship Id="rId298" Type="http://schemas.openxmlformats.org/officeDocument/2006/relationships/hyperlink" Target="https://d1g2oudknjs8jf.cloudfront.net/prodpolweb/asetimage/h7fb7thj29.JPG?MTA3OTY=" TargetMode="External"/><Relationship Id="rId297" Type="http://schemas.openxmlformats.org/officeDocument/2006/relationships/hyperlink" Target="https://dyffw9lb8wur6.cloudfront.net/v360videos/h7fb7thj29.MP4?MTA3OTY=" TargetMode="External"/><Relationship Id="rId296" Type="http://schemas.openxmlformats.org/officeDocument/2006/relationships/hyperlink" Target="https://d1s5m21q2l18ke.cloudfront.net/plotting.html?h7fb7thj29" TargetMode="External"/><Relationship Id="rId295" Type="http://schemas.openxmlformats.org/officeDocument/2006/relationships/hyperlink" Target="https://d1s5m21q2l18ke.cloudfront.net/grey_mov_video/h7fb7thj29.MP4?MTA3OTY=" TargetMode="External"/><Relationship Id="rId294" Type="http://schemas.openxmlformats.org/officeDocument/2006/relationships/hyperlink" Target="https://d1s5m21q2l18ke.cloudfront.net/v360_mov/h7fb7thj29.HTML?sv=1&amp;displayAllSideview=1&amp;MTA3OTY=" TargetMode="External"/><Relationship Id="rId293" Type="http://schemas.openxmlformats.org/officeDocument/2006/relationships/hyperlink" Target="https://d1s5m21q2l18ke.cloudfront.net/VISION360/Vision360.html?d=h7fb7thj29&amp;surl=https://d1s5m21q2l18ke.cloudfront.net/v360_mov_black/&amp;sv=1&amp;displayAllSideview=1&amp;MTA3OTY=" TargetMode="External"/><Relationship Id="rId292" Type="http://schemas.openxmlformats.org/officeDocument/2006/relationships/hyperlink" Target="https://d1s5m21q2l18ke.cloudfront.net/VISION360/Vision360.html?d=h7fb7thj29&amp;surl=https://d1s5m21q2l18ke.cloudfront.net/v360_mov_grey/&amp;sv=1&amp;displayAllSideview=1&amp;MTA3OTY=" TargetMode="External"/><Relationship Id="rId291" Type="http://schemas.openxmlformats.org/officeDocument/2006/relationships/hyperlink" Target="https://d1g2oudknjs8jf.cloudfront.net/prodpolweb/imgg_file/h7fb7thj29.JPG?MTA3OTY=" TargetMode="External"/><Relationship Id="rId290" Type="http://schemas.openxmlformats.org/officeDocument/2006/relationships/hyperlink" Target="https://d1g2oudknjs8jf.cloudfront.net/prodpolweb/cert/GIAh7fb7thj29.PDF?MTA3OTY=" TargetMode="External"/><Relationship Id="rId29" Type="http://schemas.openxmlformats.org/officeDocument/2006/relationships/hyperlink" Target="https://d1g2oudknjs8jf.cloudfront.net/prodpolweb/cert/GIAh7cc5pkj20.PDF?MTA3OTY=" TargetMode="External"/><Relationship Id="rId289" Type="http://schemas.openxmlformats.org/officeDocument/2006/relationships/hyperlink" Target="https://d1g2oudknjs8jf.cloudfront.net/prodpolweb/asetimage/n4eb11kkj218.JPG?MTA3OTY=" TargetMode="External"/><Relationship Id="rId288" Type="http://schemas.openxmlformats.org/officeDocument/2006/relationships/hyperlink" Target="https://dyffw9lb8wur6.cloudfront.net/v360videos/n4eb11kkj218.MP4?MTA3OTY=" TargetMode="External"/><Relationship Id="rId287" Type="http://schemas.openxmlformats.org/officeDocument/2006/relationships/hyperlink" Target="https://d1s5m21q2l18ke.cloudfront.net/plotting.html?n4eb11kkj218" TargetMode="External"/><Relationship Id="rId286" Type="http://schemas.openxmlformats.org/officeDocument/2006/relationships/hyperlink" Target="https://d1s5m21q2l18ke.cloudfront.net/grey_mov_video/n4eb11kkj218.MP4?MTA3OTY=" TargetMode="External"/><Relationship Id="rId285" Type="http://schemas.openxmlformats.org/officeDocument/2006/relationships/hyperlink" Target="https://d1s5m21q2l18ke.cloudfront.net/v360_mov/n4eb11kkj218.HTML?sv=1&amp;displayAllSideview=1&amp;MTA3OTY=" TargetMode="External"/><Relationship Id="rId284" Type="http://schemas.openxmlformats.org/officeDocument/2006/relationships/hyperlink" Target="https://d1s5m21q2l18ke.cloudfront.net/VISION360/Vision360.html?d=n4eb11kkj218&amp;surl=https://d1s5m21q2l18ke.cloudfront.net/v360_mov_black/&amp;sv=1&amp;displayAllSideview=1&amp;MTA3OTY=" TargetMode="External"/><Relationship Id="rId283" Type="http://schemas.openxmlformats.org/officeDocument/2006/relationships/hyperlink" Target="https://d1s5m21q2l18ke.cloudfront.net/VISION360/Vision360.html?d=n4eb11kkj218&amp;surl=https://d1s5m21q2l18ke.cloudfront.net/v360_mov_grey/&amp;sv=1&amp;displayAllSideview=1&amp;MTA3OTY=" TargetMode="External"/><Relationship Id="rId282" Type="http://schemas.openxmlformats.org/officeDocument/2006/relationships/hyperlink" Target="https://d1g2oudknjs8jf.cloudfront.net/prodpolweb/imgg_file/n4eb11kkj218.JPG?MTA3OTY=" TargetMode="External"/><Relationship Id="rId281" Type="http://schemas.openxmlformats.org/officeDocument/2006/relationships/hyperlink" Target="https://d1g2oudknjs8jf.cloudfront.net/prodpolweb/cert/GIAn4eb11kkj218.PDF?MTA3OTY=" TargetMode="External"/><Relationship Id="rId280" Type="http://schemas.openxmlformats.org/officeDocument/2006/relationships/hyperlink" Target="https://d1g2oudknjs8jf.cloudfront.net/prodpolweb/asetimage/f8hb3qjj25.JPG?MTA3OTY=" TargetMode="External"/><Relationship Id="rId28" Type="http://schemas.openxmlformats.org/officeDocument/2006/relationships/hyperlink" Target="https://d1g2oudknjs8jf.cloudfront.net/prodpolweb/asetimage/l5db3qjj27.JPG?MTA3OTY=" TargetMode="External"/><Relationship Id="rId279" Type="http://schemas.openxmlformats.org/officeDocument/2006/relationships/hyperlink" Target="https://dyffw9lb8wur6.cloudfront.net/v360videos/f8hb3qjj25.MP4?MTA3OTY=" TargetMode="External"/><Relationship Id="rId278" Type="http://schemas.openxmlformats.org/officeDocument/2006/relationships/hyperlink" Target="https://d1s5m21q2l18ke.cloudfront.net/plotting.html?f8hb3qjj25" TargetMode="External"/><Relationship Id="rId277" Type="http://schemas.openxmlformats.org/officeDocument/2006/relationships/hyperlink" Target="https://d1s5m21q2l18ke.cloudfront.net/grey_mov_video/f8hb3qjj25.MP4?MTA3OTY=" TargetMode="External"/><Relationship Id="rId276" Type="http://schemas.openxmlformats.org/officeDocument/2006/relationships/hyperlink" Target="https://d1s5m21q2l18ke.cloudfront.net/v360_mov/f8hb3qjj25.HTML?sv=1&amp;displayAllSideview=1&amp;MTA3OTY=" TargetMode="External"/><Relationship Id="rId275" Type="http://schemas.openxmlformats.org/officeDocument/2006/relationships/hyperlink" Target="https://d1s5m21q2l18ke.cloudfront.net/VISION360/Vision360.html?d=f8hb3qjj25&amp;surl=https://d1s5m21q2l18ke.cloudfront.net/v360_mov_black/&amp;sv=1&amp;displayAllSideview=1&amp;MTA3OTY=" TargetMode="External"/><Relationship Id="rId274" Type="http://schemas.openxmlformats.org/officeDocument/2006/relationships/hyperlink" Target="https://d1s5m21q2l18ke.cloudfront.net/VISION360/Vision360.html?d=f8hb3qjj25&amp;surl=https://d1s5m21q2l18ke.cloudfront.net/v360_mov_grey/&amp;sv=1&amp;displayAllSideview=1&amp;MTA3OTY=" TargetMode="External"/><Relationship Id="rId273" Type="http://schemas.openxmlformats.org/officeDocument/2006/relationships/hyperlink" Target="https://d1g2oudknjs8jf.cloudfront.net/prodpolweb/imgg_file/f8hb3qjj25.JPG?MTA3OTY=" TargetMode="External"/><Relationship Id="rId272" Type="http://schemas.openxmlformats.org/officeDocument/2006/relationships/hyperlink" Target="https://d1g2oudknjs8jf.cloudfront.net/prodpolweb/cert/GIAf8hb3qjj25.PDF?MTA3OTY=" TargetMode="External"/><Relationship Id="rId271" Type="http://schemas.openxmlformats.org/officeDocument/2006/relationships/hyperlink" Target="https://d1g2oudknjs8jf.cloudfront.net/prodpolweb/asetimage/h1jd3nhj221.JPG?MTA3OTY=" TargetMode="External"/><Relationship Id="rId270" Type="http://schemas.openxmlformats.org/officeDocument/2006/relationships/hyperlink" Target="https://dyffw9lb8wur6.cloudfront.net/v360videos/h1jd3nhj221.MP4?MTA3OTY=" TargetMode="External"/><Relationship Id="rId27" Type="http://schemas.openxmlformats.org/officeDocument/2006/relationships/hyperlink" Target="https://dyffw9lb8wur6.cloudfront.net/v360videos/l5db3qjj27.MP4?MTA3OTY=" TargetMode="External"/><Relationship Id="rId269" Type="http://schemas.openxmlformats.org/officeDocument/2006/relationships/hyperlink" Target="https://d1s5m21q2l18ke.cloudfront.net/plotting.html?h1jd3nhj221" TargetMode="External"/><Relationship Id="rId268" Type="http://schemas.openxmlformats.org/officeDocument/2006/relationships/hyperlink" Target="https://d1s5m21q2l18ke.cloudfront.net/grey_mov_video/h1jd3nhj221.MP4?MTA3OTY=" TargetMode="External"/><Relationship Id="rId267" Type="http://schemas.openxmlformats.org/officeDocument/2006/relationships/hyperlink" Target="https://d1s5m21q2l18ke.cloudfront.net/v360_mov/h1jd3nhj221.HTML?sv=1&amp;displayAllSideview=1&amp;MTA3OTY=" TargetMode="External"/><Relationship Id="rId266" Type="http://schemas.openxmlformats.org/officeDocument/2006/relationships/hyperlink" Target="https://d1s5m21q2l18ke.cloudfront.net/VISION360/Vision360.html?d=h1jd3nhj221&amp;surl=https://d1s5m21q2l18ke.cloudfront.net/v360_mov_black/&amp;sv=1&amp;displayAllSideview=1&amp;MTA3OTY=" TargetMode="External"/><Relationship Id="rId265" Type="http://schemas.openxmlformats.org/officeDocument/2006/relationships/hyperlink" Target="https://d1s5m21q2l18ke.cloudfront.net/VISION360/Vision360.html?d=h1jd3nhj221&amp;surl=https://d1s5m21q2l18ke.cloudfront.net/v360_mov_grey/&amp;sv=1&amp;displayAllSideview=1&amp;MTA3OTY=" TargetMode="External"/><Relationship Id="rId264" Type="http://schemas.openxmlformats.org/officeDocument/2006/relationships/hyperlink" Target="https://d1g2oudknjs8jf.cloudfront.net/prodpolweb/imgg_file/h1jd3nhj221.JPG?MTA3OTY=" TargetMode="External"/><Relationship Id="rId263" Type="http://schemas.openxmlformats.org/officeDocument/2006/relationships/hyperlink" Target="https://d1g2oudknjs8jf.cloudfront.net/prodpolweb/cert/GIAh1jd3nhj221.PDF?MTA3OTY=" TargetMode="External"/><Relationship Id="rId262" Type="http://schemas.openxmlformats.org/officeDocument/2006/relationships/hyperlink" Target="https://d1g2oudknjs8jf.cloudfront.net/prodpolweb/asetimage/h8gb5nhi012.JPG?MTA3OTY=" TargetMode="External"/><Relationship Id="rId261" Type="http://schemas.openxmlformats.org/officeDocument/2006/relationships/hyperlink" Target="https://dyffw9lb8wur6.cloudfront.net/v360videos/h8gb5nhi012.MP4?MTA3OTY=" TargetMode="External"/><Relationship Id="rId260" Type="http://schemas.openxmlformats.org/officeDocument/2006/relationships/hyperlink" Target="https://d1s5m21q2l18ke.cloudfront.net/plotting.html?h8gb5nhi012" TargetMode="External"/><Relationship Id="rId26" Type="http://schemas.openxmlformats.org/officeDocument/2006/relationships/hyperlink" Target="https://d1s5m21q2l18ke.cloudfront.net/plotting.html?l5db3qjj27" TargetMode="External"/><Relationship Id="rId259" Type="http://schemas.openxmlformats.org/officeDocument/2006/relationships/hyperlink" Target="https://d1s5m21q2l18ke.cloudfront.net/white_mov_video/h8gb5nhi012.MP4?MTA3OTY=" TargetMode="External"/><Relationship Id="rId258" Type="http://schemas.openxmlformats.org/officeDocument/2006/relationships/hyperlink" Target="https://d1s5m21q2l18ke.cloudfront.net/v360_mov/h8gb5nhi012.HTML?sv=1&amp;displayAllSideview=1&amp;MTA3OTY=" TargetMode="External"/><Relationship Id="rId257" Type="http://schemas.openxmlformats.org/officeDocument/2006/relationships/hyperlink" Target="https://d1s5m21q2l18ke.cloudfront.net/VISION360/Vision360.html?d=h8gb5nhi012&amp;surl=https://d1s5m21q2l18ke.cloudfront.net/v360_mov_black/&amp;sv=1&amp;displayAllSideview=1&amp;MTA3OTY=" TargetMode="External"/><Relationship Id="rId256" Type="http://schemas.openxmlformats.org/officeDocument/2006/relationships/hyperlink" Target="https://d1s5m21q2l18ke.cloudfront.net/VISION360/Vision360.html?d=h8gb5nhi012&amp;surl=https://d1s5m21q2l18ke.cloudfront.net/v360_mov_white/&amp;sv=1&amp;displayAllSideview=1&amp;MTA3OTY=" TargetMode="External"/><Relationship Id="rId255" Type="http://schemas.openxmlformats.org/officeDocument/2006/relationships/hyperlink" Target="https://d1g2oudknjs8jf.cloudfront.net/prodpolweb/imgfiles/h8gb5nhi012.JPG?MTA3OTY=" TargetMode="External"/><Relationship Id="rId254" Type="http://schemas.openxmlformats.org/officeDocument/2006/relationships/hyperlink" Target="https://d1g2oudknjs8jf.cloudfront.net/prodpolweb/cert/GIAh8gb5nhi012.PDF?MTA3OTY=" TargetMode="External"/><Relationship Id="rId253" Type="http://schemas.openxmlformats.org/officeDocument/2006/relationships/hyperlink" Target="https://d1g2oudknjs8jf.cloudfront.net/prodpolweb/asetimage/h10lb5mlj227.JPG?MTA3OTY=" TargetMode="External"/><Relationship Id="rId252" Type="http://schemas.openxmlformats.org/officeDocument/2006/relationships/hyperlink" Target="https://dyffw9lb8wur6.cloudfront.net/v360videos/h10lb5mlj227.MP4?MTA3OTY=" TargetMode="External"/><Relationship Id="rId251" Type="http://schemas.openxmlformats.org/officeDocument/2006/relationships/hyperlink" Target="https://d1s5m21q2l18ke.cloudfront.net/plotting.html?h10lb5mlj227" TargetMode="External"/><Relationship Id="rId250" Type="http://schemas.openxmlformats.org/officeDocument/2006/relationships/hyperlink" Target="https://d1s5m21q2l18ke.cloudfront.net/grey_mov_video/h10lb5mlj227.MP4?MTA3OTY=" TargetMode="External"/><Relationship Id="rId25" Type="http://schemas.openxmlformats.org/officeDocument/2006/relationships/hyperlink" Target="https://d1s5m21q2l18ke.cloudfront.net/grey_mov_video/l5db3qjj27.MP4?MTA3OTY=" TargetMode="External"/><Relationship Id="rId249" Type="http://schemas.openxmlformats.org/officeDocument/2006/relationships/hyperlink" Target="https://d1s5m21q2l18ke.cloudfront.net/v360_mov/h10lb5mlj227.HTML?sv=1&amp;displayAllSideview=1&amp;MTA3OTY=" TargetMode="External"/><Relationship Id="rId248" Type="http://schemas.openxmlformats.org/officeDocument/2006/relationships/hyperlink" Target="https://d1s5m21q2l18ke.cloudfront.net/VISION360/Vision360.html?d=h10lb5mlj227&amp;surl=https://d1s5m21q2l18ke.cloudfront.net/v360_mov_black/&amp;sv=1&amp;displayAllSideview=1&amp;MTA3OTY=" TargetMode="External"/><Relationship Id="rId247" Type="http://schemas.openxmlformats.org/officeDocument/2006/relationships/hyperlink" Target="https://d1s5m21q2l18ke.cloudfront.net/VISION360/Vision360.html?d=h10lb5mlj227&amp;surl=https://d1s5m21q2l18ke.cloudfront.net/v360_mov_grey/&amp;sv=1&amp;displayAllSideview=1&amp;MTA3OTY=" TargetMode="External"/><Relationship Id="rId246" Type="http://schemas.openxmlformats.org/officeDocument/2006/relationships/hyperlink" Target="https://d1g2oudknjs8jf.cloudfront.net/prodpolweb/imgg_file/h10lb5mlj227.JPG?MTA3OTY=" TargetMode="External"/><Relationship Id="rId245" Type="http://schemas.openxmlformats.org/officeDocument/2006/relationships/hyperlink" Target="https://d1g2oudknjs8jf.cloudfront.net/prodpolweb/cert/GIAh10lb5mlj227.PDF?MTA3OTY=" TargetMode="External"/><Relationship Id="rId244" Type="http://schemas.openxmlformats.org/officeDocument/2006/relationships/hyperlink" Target="https://d1g2oudknjs8jf.cloudfront.net/prodpolweb/asetimage/l7eb7ljj214.JPG?MTA3OTY=" TargetMode="External"/><Relationship Id="rId243" Type="http://schemas.openxmlformats.org/officeDocument/2006/relationships/hyperlink" Target="https://dyffw9lb8wur6.cloudfront.net/v360videos/l7eb7ljj214.MP4?MTA3OTY=" TargetMode="External"/><Relationship Id="rId242" Type="http://schemas.openxmlformats.org/officeDocument/2006/relationships/hyperlink" Target="https://d1s5m21q2l18ke.cloudfront.net/plotting.html?l7eb7ljj214" TargetMode="External"/><Relationship Id="rId241" Type="http://schemas.openxmlformats.org/officeDocument/2006/relationships/hyperlink" Target="https://d1s5m21q2l18ke.cloudfront.net/grey_mov_video/l7eb7ljj214.MP4?MTA3OTY=" TargetMode="External"/><Relationship Id="rId240" Type="http://schemas.openxmlformats.org/officeDocument/2006/relationships/hyperlink" Target="https://d1s5m21q2l18ke.cloudfront.net/v360_mov/l7eb7ljj214.HTML?sv=1&amp;displayAllSideview=1&amp;MTA3OTY=" TargetMode="External"/><Relationship Id="rId24" Type="http://schemas.openxmlformats.org/officeDocument/2006/relationships/hyperlink" Target="https://d1s5m21q2l18ke.cloudfront.net/v360_mov/l5db3qjj27.HTML?sv=1&amp;displayAllSideview=1&amp;MTA3OTY=" TargetMode="External"/><Relationship Id="rId239" Type="http://schemas.openxmlformats.org/officeDocument/2006/relationships/hyperlink" Target="https://d1s5m21q2l18ke.cloudfront.net/VISION360/Vision360.html?d=l7eb7ljj214&amp;surl=https://d1s5m21q2l18ke.cloudfront.net/v360_mov_black/&amp;sv=1&amp;displayAllSideview=1&amp;MTA3OTY=" TargetMode="External"/><Relationship Id="rId238" Type="http://schemas.openxmlformats.org/officeDocument/2006/relationships/hyperlink" Target="https://d1s5m21q2l18ke.cloudfront.net/VISION360/Vision360.html?d=l7eb7ljj214&amp;surl=https://d1s5m21q2l18ke.cloudfront.net/v360_mov_grey/&amp;sv=1&amp;displayAllSideview=1&amp;MTA3OTY=" TargetMode="External"/><Relationship Id="rId237" Type="http://schemas.openxmlformats.org/officeDocument/2006/relationships/hyperlink" Target="https://d1g2oudknjs8jf.cloudfront.net/prodpolweb/imgg_file/l7eb7ljj214.JPG?MTA3OTY=" TargetMode="External"/><Relationship Id="rId236" Type="http://schemas.openxmlformats.org/officeDocument/2006/relationships/hyperlink" Target="https://d1g2oudknjs8jf.cloudfront.net/prodpolweb/cert/GIAl7eb7ljj214.PDF?MTA3OTY=" TargetMode="External"/><Relationship Id="rId235" Type="http://schemas.openxmlformats.org/officeDocument/2006/relationships/hyperlink" Target="https://d1g2oudknjs8jf.cloudfront.net/prodpolweb/asetimage/n2db7sfj29.JPG?MTA3OTY=" TargetMode="External"/><Relationship Id="rId234" Type="http://schemas.openxmlformats.org/officeDocument/2006/relationships/hyperlink" Target="https://dyffw9lb8wur6.cloudfront.net/v360videos/n2db7sfj29.MP4?MTA3OTY=" TargetMode="External"/><Relationship Id="rId233" Type="http://schemas.openxmlformats.org/officeDocument/2006/relationships/hyperlink" Target="https://d1g2oudknjs8jf.cloudfront.net/prodpolweb/fl_img/n2db7sfj29.JPG?MTA3OTY=" TargetMode="External"/><Relationship Id="rId232" Type="http://schemas.openxmlformats.org/officeDocument/2006/relationships/hyperlink" Target="https://d1s5m21q2l18ke.cloudfront.net/plotting.html?n2db7sfj29" TargetMode="External"/><Relationship Id="rId231" Type="http://schemas.openxmlformats.org/officeDocument/2006/relationships/hyperlink" Target="https://d1s5m21q2l18ke.cloudfront.net/grey_mov_video/n2db7sfj29.MP4?MTA3OTY=" TargetMode="External"/><Relationship Id="rId230" Type="http://schemas.openxmlformats.org/officeDocument/2006/relationships/hyperlink" Target="https://d1s5m21q2l18ke.cloudfront.net/v360_mov/n2db7sfj29.HTML?sv=1&amp;displayAllSideview=1&amp;MTA3OTY=" TargetMode="External"/><Relationship Id="rId23" Type="http://schemas.openxmlformats.org/officeDocument/2006/relationships/hyperlink" Target="https://d1s5m21q2l18ke.cloudfront.net/VISION360/Vision360.html?d=l5db3qjj27&amp;surl=https://d1s5m21q2l18ke.cloudfront.net/v360_mov_black/&amp;sv=1&amp;displayAllSideview=1&amp;MTA3OTY=" TargetMode="External"/><Relationship Id="rId229" Type="http://schemas.openxmlformats.org/officeDocument/2006/relationships/hyperlink" Target="https://d1s5m21q2l18ke.cloudfront.net/VISION360/Vision360.html?d=n2db7sfj29&amp;surl=https://d1s5m21q2l18ke.cloudfront.net/v360_mov_black/&amp;sv=1&amp;displayAllSideview=1&amp;MTA3OTY=" TargetMode="External"/><Relationship Id="rId228" Type="http://schemas.openxmlformats.org/officeDocument/2006/relationships/hyperlink" Target="https://d1s5m21q2l18ke.cloudfront.net/VISION360/Vision360.html?d=n2db7sfj29&amp;surl=https://d1s5m21q2l18ke.cloudfront.net/v360_mov_grey/&amp;sv=1&amp;displayAllSideview=1&amp;MTA3OTY=" TargetMode="External"/><Relationship Id="rId227" Type="http://schemas.openxmlformats.org/officeDocument/2006/relationships/hyperlink" Target="https://d1g2oudknjs8jf.cloudfront.net/prodpolweb/imgg_file/n2db7sfj29.JPG?MTA3OTY=" TargetMode="External"/><Relationship Id="rId226" Type="http://schemas.openxmlformats.org/officeDocument/2006/relationships/hyperlink" Target="https://d1g2oudknjs8jf.cloudfront.net/prodpolweb/cert/GIAn2db7sfj29.PDF?MTA3OTY=" TargetMode="External"/><Relationship Id="rId225" Type="http://schemas.openxmlformats.org/officeDocument/2006/relationships/hyperlink" Target="https://d1g2oudknjs8jf.cloudfront.net/prodpolweb/asetimage/l8cb7lgj20.JPG?MTA3OTY=" TargetMode="External"/><Relationship Id="rId224" Type="http://schemas.openxmlformats.org/officeDocument/2006/relationships/hyperlink" Target="https://dyffw9lb8wur6.cloudfront.net/v360videos/l8cb7lgj20.MP4?MTA3OTY=" TargetMode="External"/><Relationship Id="rId223" Type="http://schemas.openxmlformats.org/officeDocument/2006/relationships/hyperlink" Target="https://d1s5m21q2l18ke.cloudfront.net/plotting.html?l8cb7lgj20" TargetMode="External"/><Relationship Id="rId222" Type="http://schemas.openxmlformats.org/officeDocument/2006/relationships/hyperlink" Target="https://d1s5m21q2l18ke.cloudfront.net/grey_mov_video/l8cb7lgj20.MP4?MTA3OTY=" TargetMode="External"/><Relationship Id="rId221" Type="http://schemas.openxmlformats.org/officeDocument/2006/relationships/hyperlink" Target="https://d1s5m21q2l18ke.cloudfront.net/v360_mov/l8cb7lgj20.HTML?sv=1&amp;displayAllSideview=1&amp;MTA3OTY=" TargetMode="External"/><Relationship Id="rId220" Type="http://schemas.openxmlformats.org/officeDocument/2006/relationships/hyperlink" Target="https://d1s5m21q2l18ke.cloudfront.net/VISION360/Vision360.html?d=l8cb7lgj20&amp;surl=https://d1s5m21q2l18ke.cloudfront.net/v360_mov_black/&amp;sv=1&amp;displayAllSideview=1&amp;MTA3OTY=" TargetMode="External"/><Relationship Id="rId22" Type="http://schemas.openxmlformats.org/officeDocument/2006/relationships/hyperlink" Target="https://d1s5m21q2l18ke.cloudfront.net/VISION360/Vision360.html?d=l5db3qjj27&amp;surl=https://d1s5m21q2l18ke.cloudfront.net/v360_mov_grey/&amp;sv=1&amp;displayAllSideview=1&amp;MTA3OTY=" TargetMode="External"/><Relationship Id="rId219" Type="http://schemas.openxmlformats.org/officeDocument/2006/relationships/hyperlink" Target="https://d1s5m21q2l18ke.cloudfront.net/VISION360/Vision360.html?d=l8cb7lgj20&amp;surl=https://d1s5m21q2l18ke.cloudfront.net/v360_mov_grey/&amp;sv=1&amp;displayAllSideview=1&amp;MTA3OTY=" TargetMode="External"/><Relationship Id="rId218" Type="http://schemas.openxmlformats.org/officeDocument/2006/relationships/hyperlink" Target="https://d1g2oudknjs8jf.cloudfront.net/prodpolweb/imgg_file/l8cb7lgj20.JPG?MTA3OTY=" TargetMode="External"/><Relationship Id="rId217" Type="http://schemas.openxmlformats.org/officeDocument/2006/relationships/hyperlink" Target="https://d1g2oudknjs8jf.cloudfront.net/prodpolweb/cert/GIAl8cb7lgj20.PDF?MTA3OTY=" TargetMode="External"/><Relationship Id="rId216" Type="http://schemas.openxmlformats.org/officeDocument/2006/relationships/hyperlink" Target="https://d1g2oudknjs8jf.cloudfront.net/prodpolweb/asetimage/h5fb11pjj29.JPG?MTA3OTY=" TargetMode="External"/><Relationship Id="rId215" Type="http://schemas.openxmlformats.org/officeDocument/2006/relationships/hyperlink" Target="https://dyffw9lb8wur6.cloudfront.net/v360videos/h5fb11pjj29.MP4?MTA3OTY=" TargetMode="External"/><Relationship Id="rId214" Type="http://schemas.openxmlformats.org/officeDocument/2006/relationships/hyperlink" Target="https://d1s5m21q2l18ke.cloudfront.net/plotting.html?h5fb11pjj29" TargetMode="External"/><Relationship Id="rId213" Type="http://schemas.openxmlformats.org/officeDocument/2006/relationships/hyperlink" Target="https://d1s5m21q2l18ke.cloudfront.net/grey_mov_video/h5fb11pjj29.MP4?MTA3OTY=" TargetMode="External"/><Relationship Id="rId212" Type="http://schemas.openxmlformats.org/officeDocument/2006/relationships/hyperlink" Target="https://d1s5m21q2l18ke.cloudfront.net/v360_mov/h5fb11pjj29.HTML?sv=1&amp;displayAllSideview=1&amp;MTA3OTY=" TargetMode="External"/><Relationship Id="rId211" Type="http://schemas.openxmlformats.org/officeDocument/2006/relationships/hyperlink" Target="https://d1s5m21q2l18ke.cloudfront.net/VISION360/Vision360.html?d=h5fb11pjj29&amp;surl=https://d1s5m21q2l18ke.cloudfront.net/v360_mov_black/&amp;sv=1&amp;displayAllSideview=1&amp;MTA3OTY=" TargetMode="External"/><Relationship Id="rId210" Type="http://schemas.openxmlformats.org/officeDocument/2006/relationships/hyperlink" Target="https://d1s5m21q2l18ke.cloudfront.net/VISION360/Vision360.html?d=h5fb11pjj29&amp;surl=https://d1s5m21q2l18ke.cloudfront.net/v360_mov_grey/&amp;sv=1&amp;displayAllSideview=1&amp;MTA3OTY=" TargetMode="External"/><Relationship Id="rId21" Type="http://schemas.openxmlformats.org/officeDocument/2006/relationships/hyperlink" Target="https://d1g2oudknjs8jf.cloudfront.net/prodpolweb/imgg_file/l5db3qjj27.JPG?MTA3OTY=" TargetMode="External"/><Relationship Id="rId209" Type="http://schemas.openxmlformats.org/officeDocument/2006/relationships/hyperlink" Target="https://d1g2oudknjs8jf.cloudfront.net/prodpolweb/imgg_file/h5fb11pjj29.JPG?MTA3OTY=" TargetMode="External"/><Relationship Id="rId208" Type="http://schemas.openxmlformats.org/officeDocument/2006/relationships/hyperlink" Target="https://d1g2oudknjs8jf.cloudfront.net/prodpolweb/cert/GIAh5fb11pjj29.PDF?MTA3OTY=" TargetMode="External"/><Relationship Id="rId207" Type="http://schemas.openxmlformats.org/officeDocument/2006/relationships/hyperlink" Target="https://d1g2oudknjs8jf.cloudfront.net/prodpolweb/asetimage/f4cc3pkj20.JPG?MTA3OTY=" TargetMode="External"/><Relationship Id="rId206" Type="http://schemas.openxmlformats.org/officeDocument/2006/relationships/hyperlink" Target="https://dyffw9lb8wur6.cloudfront.net/v360videos/f4cc3pkj20.MP4?MTA3OTY=" TargetMode="External"/><Relationship Id="rId205" Type="http://schemas.openxmlformats.org/officeDocument/2006/relationships/hyperlink" Target="https://d1s5m21q2l18ke.cloudfront.net/plotting.html?f4cc3pkj20" TargetMode="External"/><Relationship Id="rId204" Type="http://schemas.openxmlformats.org/officeDocument/2006/relationships/hyperlink" Target="https://d1s5m21q2l18ke.cloudfront.net/grey_mov_video/f4cc3pkj20.MP4?MTA3OTY=" TargetMode="External"/><Relationship Id="rId203" Type="http://schemas.openxmlformats.org/officeDocument/2006/relationships/hyperlink" Target="https://d1s5m21q2l18ke.cloudfront.net/v360_mov/f4cc3pkj20.HTML?sv=1&amp;displayAllSideview=1&amp;MTA3OTY=" TargetMode="External"/><Relationship Id="rId202" Type="http://schemas.openxmlformats.org/officeDocument/2006/relationships/hyperlink" Target="https://d1s5m21q2l18ke.cloudfront.net/VISION360/Vision360.html?d=f4cc3pkj20&amp;surl=https://d1s5m21q2l18ke.cloudfront.net/v360_mov_black/&amp;sv=1&amp;displayAllSideview=1&amp;MTA3OTY=" TargetMode="External"/><Relationship Id="rId201" Type="http://schemas.openxmlformats.org/officeDocument/2006/relationships/hyperlink" Target="https://d1s5m21q2l18ke.cloudfront.net/VISION360/Vision360.html?d=f4cc3pkj20&amp;surl=https://d1s5m21q2l18ke.cloudfront.net/v360_mov_grey/&amp;sv=1&amp;displayAllSideview=1&amp;MTA3OTY=" TargetMode="External"/><Relationship Id="rId200" Type="http://schemas.openxmlformats.org/officeDocument/2006/relationships/hyperlink" Target="https://d1g2oudknjs8jf.cloudfront.net/prodpolweb/imgg_file/f4cc3pkj20.JPG?MTA3OTY=" TargetMode="External"/><Relationship Id="rId20" Type="http://schemas.openxmlformats.org/officeDocument/2006/relationships/hyperlink" Target="https://d1g2oudknjs8jf.cloudfront.net/prodpolweb/cert/GIAl5db3qjj27.PDF?MTA3OTY=" TargetMode="External"/><Relationship Id="rId2" Type="http://schemas.openxmlformats.org/officeDocument/2006/relationships/hyperlink" Target="https://d1g2oudknjs8jf.cloudfront.net/prodpolweb/imgfiles/l1ib11ohi042.JPG?MTA3OTY=" TargetMode="External"/><Relationship Id="rId199" Type="http://schemas.openxmlformats.org/officeDocument/2006/relationships/hyperlink" Target="https://d1g2oudknjs8jf.cloudfront.net/prodpolweb/cert/GIAf4cc3pkj20.PDF?MTA3OTY=" TargetMode="External"/><Relationship Id="rId198" Type="http://schemas.openxmlformats.org/officeDocument/2006/relationships/hyperlink" Target="https://d1g2oudknjs8jf.cloudfront.net/prodpolweb/asetimage/f10fb11pjj23.JPG?MTA3OTY=" TargetMode="External"/><Relationship Id="rId197" Type="http://schemas.openxmlformats.org/officeDocument/2006/relationships/hyperlink" Target="https://dyffw9lb8wur6.cloudfront.net/v360videos/f10fb11pjj23.MP4?MTA3OTY=" TargetMode="External"/><Relationship Id="rId196" Type="http://schemas.openxmlformats.org/officeDocument/2006/relationships/hyperlink" Target="https://d1s5m21q2l18ke.cloudfront.net/plotting.html?f10fb11pjj23" TargetMode="External"/><Relationship Id="rId195" Type="http://schemas.openxmlformats.org/officeDocument/2006/relationships/hyperlink" Target="https://d1s5m21q2l18ke.cloudfront.net/grey_mov_video/f10fb11pjj23.MP4?MTA3OTY=" TargetMode="External"/><Relationship Id="rId194" Type="http://schemas.openxmlformats.org/officeDocument/2006/relationships/hyperlink" Target="https://d1s5m21q2l18ke.cloudfront.net/v360_mov/f10fb11pjj23.HTML?sv=1&amp;displayAllSideview=1&amp;MTA3OTY=" TargetMode="External"/><Relationship Id="rId193" Type="http://schemas.openxmlformats.org/officeDocument/2006/relationships/hyperlink" Target="https://d1s5m21q2l18ke.cloudfront.net/VISION360/Vision360.html?d=f10fb11pjj23&amp;surl=https://d1s5m21q2l18ke.cloudfront.net/v360_mov_black/&amp;sv=1&amp;displayAllSideview=1&amp;MTA3OTY=" TargetMode="External"/><Relationship Id="rId192" Type="http://schemas.openxmlformats.org/officeDocument/2006/relationships/hyperlink" Target="https://d1s5m21q2l18ke.cloudfront.net/VISION360/Vision360.html?d=f10fb11pjj23&amp;surl=https://d1s5m21q2l18ke.cloudfront.net/v360_mov_grey/&amp;sv=1&amp;displayAllSideview=1&amp;MTA3OTY=" TargetMode="External"/><Relationship Id="rId191" Type="http://schemas.openxmlformats.org/officeDocument/2006/relationships/hyperlink" Target="https://d1g2oudknjs8jf.cloudfront.net/prodpolweb/imgg_file/f10fb11pjj23.JPG?MTA3OTY=" TargetMode="External"/><Relationship Id="rId190" Type="http://schemas.openxmlformats.org/officeDocument/2006/relationships/hyperlink" Target="https://d1g2oudknjs8jf.cloudfront.net/prodpolweb/cert/GIAf10fb11pjj23.PDF?MTA3OTY=" TargetMode="External"/><Relationship Id="rId19" Type="http://schemas.openxmlformats.org/officeDocument/2006/relationships/hyperlink" Target="https://d1g2oudknjs8jf.cloudfront.net/prodpolweb/asetimage/h1db5skj23.JPG?MTA3OTY=" TargetMode="External"/><Relationship Id="rId189" Type="http://schemas.openxmlformats.org/officeDocument/2006/relationships/hyperlink" Target="https://d1g2oudknjs8jf.cloudfront.net/prodpolweb/asetimage/f2ic5oij26.JPG?MTA3OTY=" TargetMode="External"/><Relationship Id="rId188" Type="http://schemas.openxmlformats.org/officeDocument/2006/relationships/hyperlink" Target="https://dyffw9lb8wur6.cloudfront.net/v360videos/f2ic5oij26.MP4?MTA3OTY=" TargetMode="External"/><Relationship Id="rId187" Type="http://schemas.openxmlformats.org/officeDocument/2006/relationships/hyperlink" Target="https://d1s5m21q2l18ke.cloudfront.net/plotting.html?f2ic5oij26" TargetMode="External"/><Relationship Id="rId186" Type="http://schemas.openxmlformats.org/officeDocument/2006/relationships/hyperlink" Target="https://d1s5m21q2l18ke.cloudfront.net/grey_mov_video/f2ic5oij26.MP4?MTA3OTY=" TargetMode="External"/><Relationship Id="rId185" Type="http://schemas.openxmlformats.org/officeDocument/2006/relationships/hyperlink" Target="https://d1s5m21q2l18ke.cloudfront.net/v360_mov/f2ic5oij26.HTML?sv=1&amp;displayAllSideview=1&amp;MTA3OTY=" TargetMode="External"/><Relationship Id="rId184" Type="http://schemas.openxmlformats.org/officeDocument/2006/relationships/hyperlink" Target="https://d1s5m21q2l18ke.cloudfront.net/VISION360/Vision360.html?d=f2ic5oij26&amp;surl=https://d1s5m21q2l18ke.cloudfront.net/v360_mov_black/&amp;sv=1&amp;displayAllSideview=1&amp;MTA3OTY=" TargetMode="External"/><Relationship Id="rId183" Type="http://schemas.openxmlformats.org/officeDocument/2006/relationships/hyperlink" Target="https://d1s5m21q2l18ke.cloudfront.net/VISION360/Vision360.html?d=f2ic5oij26&amp;surl=https://d1s5m21q2l18ke.cloudfront.net/v360_mov_grey/&amp;sv=1&amp;displayAllSideview=1&amp;MTA3OTY=" TargetMode="External"/><Relationship Id="rId182" Type="http://schemas.openxmlformats.org/officeDocument/2006/relationships/hyperlink" Target="https://d1g2oudknjs8jf.cloudfront.net/prodpolweb/imgg_file/f2ic5oij26.JPG?MTA3OTY=" TargetMode="External"/><Relationship Id="rId181" Type="http://schemas.openxmlformats.org/officeDocument/2006/relationships/hyperlink" Target="https://d1g2oudknjs8jf.cloudfront.net/prodpolweb/cert/GIAf2ic5oij26.PDF?MTA3OTY=" TargetMode="External"/><Relationship Id="rId180" Type="http://schemas.openxmlformats.org/officeDocument/2006/relationships/hyperlink" Target="https://d1g2oudknjs8jf.cloudfront.net/prodpolweb/asetimage/f6db9qfj21.JPG?MTA3OTY=" TargetMode="External"/><Relationship Id="rId18" Type="http://schemas.openxmlformats.org/officeDocument/2006/relationships/hyperlink" Target="https://dyffw9lb8wur6.cloudfront.net/v360videos/h1db5skj23.MP4?MTA3OTY=" TargetMode="External"/><Relationship Id="rId179" Type="http://schemas.openxmlformats.org/officeDocument/2006/relationships/hyperlink" Target="https://dyffw9lb8wur6.cloudfront.net/v360videos/f6db9qfj21.MP4?MTA3OTY=" TargetMode="External"/><Relationship Id="rId178" Type="http://schemas.openxmlformats.org/officeDocument/2006/relationships/hyperlink" Target="https://d1s5m21q2l18ke.cloudfront.net/plotting.html?f6db9qfj21" TargetMode="External"/><Relationship Id="rId177" Type="http://schemas.openxmlformats.org/officeDocument/2006/relationships/hyperlink" Target="https://d1s5m21q2l18ke.cloudfront.net/grey_mov_video/f6db9qfj21.MP4?MTA3OTY=" TargetMode="External"/><Relationship Id="rId176" Type="http://schemas.openxmlformats.org/officeDocument/2006/relationships/hyperlink" Target="https://d1s5m21q2l18ke.cloudfront.net/v360_mov/f6db9qfj21.HTML?sv=1&amp;displayAllSideview=1&amp;MTA3OTY=" TargetMode="External"/><Relationship Id="rId175" Type="http://schemas.openxmlformats.org/officeDocument/2006/relationships/hyperlink" Target="https://d1s5m21q2l18ke.cloudfront.net/VISION360/Vision360.html?d=f6db9qfj21&amp;surl=https://d1s5m21q2l18ke.cloudfront.net/v360_mov_black/&amp;sv=1&amp;displayAllSideview=1&amp;MTA3OTY=" TargetMode="External"/><Relationship Id="rId174" Type="http://schemas.openxmlformats.org/officeDocument/2006/relationships/hyperlink" Target="https://d1s5m21q2l18ke.cloudfront.net/VISION360/Vision360.html?d=f6db9qfj21&amp;surl=https://d1s5m21q2l18ke.cloudfront.net/v360_mov_grey/&amp;sv=1&amp;displayAllSideview=1&amp;MTA3OTY=" TargetMode="External"/><Relationship Id="rId173" Type="http://schemas.openxmlformats.org/officeDocument/2006/relationships/hyperlink" Target="https://d1g2oudknjs8jf.cloudfront.net/prodpolweb/imgg_file/f6db9qfj21.JPG?MTA3OTY=" TargetMode="External"/><Relationship Id="rId172" Type="http://schemas.openxmlformats.org/officeDocument/2006/relationships/hyperlink" Target="https://d1g2oudknjs8jf.cloudfront.net/prodpolweb/cert/GIAf6db9qfj21.PDF?MTA3OTY=" TargetMode="External"/><Relationship Id="rId171" Type="http://schemas.openxmlformats.org/officeDocument/2006/relationships/hyperlink" Target="https://d1g2oudknjs8jf.cloudfront.net/prodpolweb/asetimage/l6db3mij27.JPG?MTA3OTY=" TargetMode="External"/><Relationship Id="rId170" Type="http://schemas.openxmlformats.org/officeDocument/2006/relationships/hyperlink" Target="https://dyffw9lb8wur6.cloudfront.net/v360videos/l6db3mij27.MP4?MTA3OTY=" TargetMode="External"/><Relationship Id="rId17" Type="http://schemas.openxmlformats.org/officeDocument/2006/relationships/hyperlink" Target="https://d1s5m21q2l18ke.cloudfront.net/plotting.html?h1db5skj23" TargetMode="External"/><Relationship Id="rId169" Type="http://schemas.openxmlformats.org/officeDocument/2006/relationships/hyperlink" Target="https://d1s5m21q2l18ke.cloudfront.net/plotting.html?l6db3mij27" TargetMode="External"/><Relationship Id="rId168" Type="http://schemas.openxmlformats.org/officeDocument/2006/relationships/hyperlink" Target="https://d1s5m21q2l18ke.cloudfront.net/grey_mov_video/l6db3mij27.MP4?MTA3OTY=" TargetMode="External"/><Relationship Id="rId167" Type="http://schemas.openxmlformats.org/officeDocument/2006/relationships/hyperlink" Target="https://d1s5m21q2l18ke.cloudfront.net/v360_mov/l6db3mij27.HTML?sv=1&amp;displayAllSideview=1&amp;MTA3OTY=" TargetMode="External"/><Relationship Id="rId166" Type="http://schemas.openxmlformats.org/officeDocument/2006/relationships/hyperlink" Target="https://d1s5m21q2l18ke.cloudfront.net/VISION360/Vision360.html?d=l6db3mij27&amp;surl=https://d1s5m21q2l18ke.cloudfront.net/v360_mov_black/&amp;sv=1&amp;displayAllSideview=1&amp;MTA3OTY=" TargetMode="External"/><Relationship Id="rId165" Type="http://schemas.openxmlformats.org/officeDocument/2006/relationships/hyperlink" Target="https://d1s5m21q2l18ke.cloudfront.net/VISION360/Vision360.html?d=l6db3mij27&amp;surl=https://d1s5m21q2l18ke.cloudfront.net/v360_mov_grey/&amp;sv=1&amp;displayAllSideview=1&amp;MTA3OTY=" TargetMode="External"/><Relationship Id="rId164" Type="http://schemas.openxmlformats.org/officeDocument/2006/relationships/hyperlink" Target="https://d1g2oudknjs8jf.cloudfront.net/prodpolweb/imgg_file/l6db3mij27.JPG?MTA3OTY=" TargetMode="External"/><Relationship Id="rId163" Type="http://schemas.openxmlformats.org/officeDocument/2006/relationships/hyperlink" Target="https://d1g2oudknjs8jf.cloudfront.net/prodpolweb/cert/GIAl6db3mij27.PDF?MTA3OTY=" TargetMode="External"/><Relationship Id="rId162" Type="http://schemas.openxmlformats.org/officeDocument/2006/relationships/hyperlink" Target="https://d1g2oudknjs8jf.cloudfront.net/prodpolweb/asetimage/h9db3tgj23.JPG?MTA3OTY=" TargetMode="External"/><Relationship Id="rId161" Type="http://schemas.openxmlformats.org/officeDocument/2006/relationships/hyperlink" Target="https://dyffw9lb8wur6.cloudfront.net/v360videos/h9db3tgj23.MP4?MTA3OTY=" TargetMode="External"/><Relationship Id="rId160" Type="http://schemas.openxmlformats.org/officeDocument/2006/relationships/hyperlink" Target="https://d1g2oudknjs8jf.cloudfront.net/prodpolweb/fl_img/h9db3tgj23.PNG?MTA3OTY=" TargetMode="External"/><Relationship Id="rId16" Type="http://schemas.openxmlformats.org/officeDocument/2006/relationships/hyperlink" Target="https://d1s5m21q2l18ke.cloudfront.net/grey_mov_video/h1db5skj23.MP4?MTA3OTY=" TargetMode="External"/><Relationship Id="rId159" Type="http://schemas.openxmlformats.org/officeDocument/2006/relationships/hyperlink" Target="https://d1s5m21q2l18ke.cloudfront.net/plotting.html?h9db3tgj23" TargetMode="External"/><Relationship Id="rId158" Type="http://schemas.openxmlformats.org/officeDocument/2006/relationships/hyperlink" Target="https://d1s5m21q2l18ke.cloudfront.net/grey_mov_video/h9db3tgj23.MP4?MTA3OTY=" TargetMode="External"/><Relationship Id="rId157" Type="http://schemas.openxmlformats.org/officeDocument/2006/relationships/hyperlink" Target="https://d1s5m21q2l18ke.cloudfront.net/v360_mov/h9db3tgj23.HTML?sv=1&amp;displayAllSideview=1&amp;MTA3OTY=" TargetMode="External"/><Relationship Id="rId156" Type="http://schemas.openxmlformats.org/officeDocument/2006/relationships/hyperlink" Target="https://d1s5m21q2l18ke.cloudfront.net/VISION360/Vision360.html?d=h9db3tgj23&amp;surl=https://d1s5m21q2l18ke.cloudfront.net/v360_mov_black/&amp;sv=1&amp;displayAllSideview=1&amp;MTA3OTY=" TargetMode="External"/><Relationship Id="rId155" Type="http://schemas.openxmlformats.org/officeDocument/2006/relationships/hyperlink" Target="https://d1s5m21q2l18ke.cloudfront.net/VISION360/Vision360.html?d=h9db3tgj23&amp;surl=https://d1s5m21q2l18ke.cloudfront.net/v360_mov_grey/&amp;sv=1&amp;displayAllSideview=1&amp;MTA3OTY=" TargetMode="External"/><Relationship Id="rId154" Type="http://schemas.openxmlformats.org/officeDocument/2006/relationships/hyperlink" Target="https://d1g2oudknjs8jf.cloudfront.net/prodpolweb/imgg_file/h9db3tgj23.JPG?MTA3OTY=" TargetMode="External"/><Relationship Id="rId153" Type="http://schemas.openxmlformats.org/officeDocument/2006/relationships/hyperlink" Target="https://d1g2oudknjs8jf.cloudfront.net/prodpolweb/cert/GIAh9db3tgj23.PDF?MTA3OTY=" TargetMode="External"/><Relationship Id="rId152" Type="http://schemas.openxmlformats.org/officeDocument/2006/relationships/hyperlink" Target="https://d1g2oudknjs8jf.cloudfront.net/prodpolweb/asetimage/l9fb3phi021.JPG?MTA3OTY=" TargetMode="External"/><Relationship Id="rId151" Type="http://schemas.openxmlformats.org/officeDocument/2006/relationships/hyperlink" Target="https://dyffw9lb8wur6.cloudfront.net/v360videos/l9fb3phi021.MP4?MTA3OTY=" TargetMode="External"/><Relationship Id="rId150" Type="http://schemas.openxmlformats.org/officeDocument/2006/relationships/hyperlink" Target="https://d1s5m21q2l18ke.cloudfront.net/plotting.html?l9fb3phi021" TargetMode="External"/><Relationship Id="rId15" Type="http://schemas.openxmlformats.org/officeDocument/2006/relationships/hyperlink" Target="https://d1s5m21q2l18ke.cloudfront.net/v360_mov/h1db5skj23.HTML?sv=1&amp;displayAllSideview=1&amp;MTA3OTY=" TargetMode="External"/><Relationship Id="rId149" Type="http://schemas.openxmlformats.org/officeDocument/2006/relationships/hyperlink" Target="https://d1s5m21q2l18ke.cloudfront.net/white_mov_video/l9fb3phi021.MP4?MTA3OTY=" TargetMode="External"/><Relationship Id="rId148" Type="http://schemas.openxmlformats.org/officeDocument/2006/relationships/hyperlink" Target="https://d1s5m21q2l18ke.cloudfront.net/v360_mov/l9fb3phi021.HTML?sv=1&amp;displayAllSideview=1&amp;MTA3OTY=" TargetMode="External"/><Relationship Id="rId147" Type="http://schemas.openxmlformats.org/officeDocument/2006/relationships/hyperlink" Target="https://d1s5m21q2l18ke.cloudfront.net/VISION360/Vision360.html?d=l9fb3phi021&amp;surl=https://d1s5m21q2l18ke.cloudfront.net/v360_mov_black/&amp;sv=1&amp;displayAllSideview=1&amp;MTA3OTY=" TargetMode="External"/><Relationship Id="rId146" Type="http://schemas.openxmlformats.org/officeDocument/2006/relationships/hyperlink" Target="https://d1s5m21q2l18ke.cloudfront.net/VISION360/Vision360.html?d=l9fb3phi021&amp;surl=https://d1s5m21q2l18ke.cloudfront.net/v360_mov_white/&amp;sv=1&amp;displayAllSideview=1&amp;MTA3OTY=" TargetMode="External"/><Relationship Id="rId145" Type="http://schemas.openxmlformats.org/officeDocument/2006/relationships/hyperlink" Target="https://d1g2oudknjs8jf.cloudfront.net/prodpolweb/imgfiles/l9fb3phi021.JPG?MTA3OTY=" TargetMode="External"/><Relationship Id="rId144" Type="http://schemas.openxmlformats.org/officeDocument/2006/relationships/hyperlink" Target="https://d1g2oudknjs8jf.cloudfront.net/prodpolweb/cert/GIAl9fb3phi021.PDF?MTA3OTY=" TargetMode="External"/><Relationship Id="rId143" Type="http://schemas.openxmlformats.org/officeDocument/2006/relationships/hyperlink" Target="https://d1g2oudknjs8jf.cloudfront.net/prodpolweb/asetimage/l10cb11lmj20.JPG?MTA3OTY=" TargetMode="External"/><Relationship Id="rId142" Type="http://schemas.openxmlformats.org/officeDocument/2006/relationships/hyperlink" Target="https://dyffw9lb8wur6.cloudfront.net/v360videos/l10cb11lmj20.MP4?MTA3OTY=" TargetMode="External"/><Relationship Id="rId141" Type="http://schemas.openxmlformats.org/officeDocument/2006/relationships/hyperlink" Target="https://d1s5m21q2l18ke.cloudfront.net/plotting.html?l10cb11lmj20" TargetMode="External"/><Relationship Id="rId140" Type="http://schemas.openxmlformats.org/officeDocument/2006/relationships/hyperlink" Target="https://d1s5m21q2l18ke.cloudfront.net/grey_mov_video/l10cb11lmj20.MP4?MTA3OTY=" TargetMode="External"/><Relationship Id="rId14" Type="http://schemas.openxmlformats.org/officeDocument/2006/relationships/hyperlink" Target="https://d1s5m21q2l18ke.cloudfront.net/VISION360/Vision360.html?d=h1db5skj23&amp;surl=https://d1s5m21q2l18ke.cloudfront.net/v360_mov_black/&amp;sv=1&amp;displayAllSideview=1&amp;MTA3OTY=" TargetMode="External"/><Relationship Id="rId139" Type="http://schemas.openxmlformats.org/officeDocument/2006/relationships/hyperlink" Target="https://d1s5m21q2l18ke.cloudfront.net/v360_mov/l10cb11lmj20.HTML?sv=1&amp;displayAllSideview=1&amp;MTA3OTY=" TargetMode="External"/><Relationship Id="rId138" Type="http://schemas.openxmlformats.org/officeDocument/2006/relationships/hyperlink" Target="https://d1s5m21q2l18ke.cloudfront.net/VISION360/Vision360.html?d=l10cb11lmj20&amp;surl=https://d1s5m21q2l18ke.cloudfront.net/v360_mov_black/&amp;sv=1&amp;displayAllSideview=1&amp;MTA3OTY=" TargetMode="External"/><Relationship Id="rId137" Type="http://schemas.openxmlformats.org/officeDocument/2006/relationships/hyperlink" Target="https://d1s5m21q2l18ke.cloudfront.net/VISION360/Vision360.html?d=l10cb11lmj20&amp;surl=https://d1s5m21q2l18ke.cloudfront.net/v360_mov_grey/&amp;sv=1&amp;displayAllSideview=1&amp;MTA3OTY=" TargetMode="External"/><Relationship Id="rId136" Type="http://schemas.openxmlformats.org/officeDocument/2006/relationships/hyperlink" Target="https://d1g2oudknjs8jf.cloudfront.net/prodpolweb/imgg_file/l10cb11lmj20.JPG?MTA3OTY=" TargetMode="External"/><Relationship Id="rId135" Type="http://schemas.openxmlformats.org/officeDocument/2006/relationships/hyperlink" Target="https://d1g2oudknjs8jf.cloudfront.net/prodpolweb/cert/GIAl10cb11lmj20.PDF?MTA3OTY=" TargetMode="External"/><Relationship Id="rId134" Type="http://schemas.openxmlformats.org/officeDocument/2006/relationships/hyperlink" Target="https://d1g2oudknjs8jf.cloudfront.net/prodpolweb/asetimage/h1lb7kjj227.JPG?MTA3OTY=" TargetMode="External"/><Relationship Id="rId133" Type="http://schemas.openxmlformats.org/officeDocument/2006/relationships/hyperlink" Target="https://dyffw9lb8wur6.cloudfront.net/v360videos/h1lb7kjj227.MP4?MTA3OTY=" TargetMode="External"/><Relationship Id="rId132" Type="http://schemas.openxmlformats.org/officeDocument/2006/relationships/hyperlink" Target="https://d1g2oudknjs8jf.cloudfront.net/prodpolweb/fl_img/h1lb7kjj227.PNG?MTA3OTY=" TargetMode="External"/><Relationship Id="rId131" Type="http://schemas.openxmlformats.org/officeDocument/2006/relationships/hyperlink" Target="https://d1s5m21q2l18ke.cloudfront.net/plotting.html?h1lb7kjj227" TargetMode="External"/><Relationship Id="rId130" Type="http://schemas.openxmlformats.org/officeDocument/2006/relationships/hyperlink" Target="https://d1s5m21q2l18ke.cloudfront.net/grey_mov_video/h1lb7kjj227.MP4?MTA3OTY=" TargetMode="External"/><Relationship Id="rId13" Type="http://schemas.openxmlformats.org/officeDocument/2006/relationships/hyperlink" Target="https://d1s5m21q2l18ke.cloudfront.net/VISION360/Vision360.html?d=h1db5skj23&amp;surl=https://d1s5m21q2l18ke.cloudfront.net/v360_mov_grey/&amp;sv=1&amp;displayAllSideview=1&amp;MTA3OTY=" TargetMode="External"/><Relationship Id="rId129" Type="http://schemas.openxmlformats.org/officeDocument/2006/relationships/hyperlink" Target="https://d1s5m21q2l18ke.cloudfront.net/v360_mov/h1lb7kjj227.HTML?sv=1&amp;displayAllSideview=1&amp;MTA3OTY=" TargetMode="External"/><Relationship Id="rId128" Type="http://schemas.openxmlformats.org/officeDocument/2006/relationships/hyperlink" Target="https://d1s5m21q2l18ke.cloudfront.net/VISION360/Vision360.html?d=h1lb7kjj227&amp;surl=https://d1s5m21q2l18ke.cloudfront.net/v360_mov_black/&amp;sv=1&amp;displayAllSideview=1&amp;MTA3OTY=" TargetMode="External"/><Relationship Id="rId127" Type="http://schemas.openxmlformats.org/officeDocument/2006/relationships/hyperlink" Target="https://d1s5m21q2l18ke.cloudfront.net/VISION360/Vision360.html?d=h1lb7kjj227&amp;surl=https://d1s5m21q2l18ke.cloudfront.net/v360_mov_grey/&amp;sv=1&amp;displayAllSideview=1&amp;MTA3OTY=" TargetMode="External"/><Relationship Id="rId126" Type="http://schemas.openxmlformats.org/officeDocument/2006/relationships/hyperlink" Target="https://d1g2oudknjs8jf.cloudfront.net/prodpolweb/imgg_file/h1lb7kjj227.JPG?MTA3OTY=" TargetMode="External"/><Relationship Id="rId125" Type="http://schemas.openxmlformats.org/officeDocument/2006/relationships/hyperlink" Target="https://d1g2oudknjs8jf.cloudfront.net/prodpolweb/cert/GIAh1lb7kjj227.PDF?MTA3OTY=" TargetMode="External"/><Relationship Id="rId124" Type="http://schemas.openxmlformats.org/officeDocument/2006/relationships/hyperlink" Target="https://d1g2oudknjs8jf.cloudfront.net/prodpolweb/asetimage/n3ed5nhj218.JPG?MTA3OTY=" TargetMode="External"/><Relationship Id="rId123" Type="http://schemas.openxmlformats.org/officeDocument/2006/relationships/hyperlink" Target="https://dyffw9lb8wur6.cloudfront.net/v360videos/n3ed5nhj218.MP4?MTA3OTY=" TargetMode="External"/><Relationship Id="rId122" Type="http://schemas.openxmlformats.org/officeDocument/2006/relationships/hyperlink" Target="https://d1g2oudknjs8jf.cloudfront.net/prodpolweb/fl_img/n3ed5nhj218.PNG?MTA3OTY=" TargetMode="External"/><Relationship Id="rId121" Type="http://schemas.openxmlformats.org/officeDocument/2006/relationships/hyperlink" Target="https://d1s5m21q2l18ke.cloudfront.net/plotting.html?n3ed5nhj218" TargetMode="External"/><Relationship Id="rId120" Type="http://schemas.openxmlformats.org/officeDocument/2006/relationships/hyperlink" Target="https://d1s5m21q2l18ke.cloudfront.net/grey_mov_video/n3ed5nhj218.MP4?MTA3OTY=" TargetMode="External"/><Relationship Id="rId12" Type="http://schemas.openxmlformats.org/officeDocument/2006/relationships/hyperlink" Target="https://d1g2oudknjs8jf.cloudfront.net/prodpolweb/imgg_file/h1db5skj23.JPG?MTA3OTY=" TargetMode="External"/><Relationship Id="rId119" Type="http://schemas.openxmlformats.org/officeDocument/2006/relationships/hyperlink" Target="https://d1s5m21q2l18ke.cloudfront.net/v360_mov/n3ed5nhj218.HTML?sv=1&amp;displayAllSideview=1&amp;MTA3OTY=" TargetMode="External"/><Relationship Id="rId118" Type="http://schemas.openxmlformats.org/officeDocument/2006/relationships/hyperlink" Target="https://d1s5m21q2l18ke.cloudfront.net/VISION360/Vision360.html?d=n3ed5nhj218&amp;surl=https://d1s5m21q2l18ke.cloudfront.net/v360_mov_black/&amp;sv=1&amp;displayAllSideview=1&amp;MTA3OTY=" TargetMode="External"/><Relationship Id="rId117" Type="http://schemas.openxmlformats.org/officeDocument/2006/relationships/hyperlink" Target="https://d1s5m21q2l18ke.cloudfront.net/VISION360/Vision360.html?d=n3ed5nhj218&amp;surl=https://d1s5m21q2l18ke.cloudfront.net/v360_mov_grey/&amp;sv=1&amp;displayAllSideview=1&amp;MTA3OTY=" TargetMode="External"/><Relationship Id="rId116" Type="http://schemas.openxmlformats.org/officeDocument/2006/relationships/hyperlink" Target="https://d1g2oudknjs8jf.cloudfront.net/prodpolweb/imgg_file/n3ed5nhj218.JPG?MTA3OTY=" TargetMode="External"/><Relationship Id="rId115" Type="http://schemas.openxmlformats.org/officeDocument/2006/relationships/hyperlink" Target="https://d1g2oudknjs8jf.cloudfront.net/prodpolweb/cert/GIAn3ed5nhj218.PDF?MTA3OTY=" TargetMode="External"/><Relationship Id="rId114" Type="http://schemas.openxmlformats.org/officeDocument/2006/relationships/hyperlink" Target="https://d1g2oudknjs8jf.cloudfront.net/prodpolweb/asetimage/h9eb11ohi06.JPG?MTA3OTY=" TargetMode="External"/><Relationship Id="rId113" Type="http://schemas.openxmlformats.org/officeDocument/2006/relationships/hyperlink" Target="https://dyffw9lb8wur6.cloudfront.net/v360videos/h9eb11ohi06.MP4?MTA3OTY=" TargetMode="External"/><Relationship Id="rId112" Type="http://schemas.openxmlformats.org/officeDocument/2006/relationships/hyperlink" Target="https://d1g2oudknjs8jf.cloudfront.net/prodpolweb/fl_img/h9eb11ohi06.PNG?MTA3OTY=" TargetMode="External"/><Relationship Id="rId111" Type="http://schemas.openxmlformats.org/officeDocument/2006/relationships/hyperlink" Target="https://d1s5m21q2l18ke.cloudfront.net/plotting.html?h9eb11ohi06" TargetMode="External"/><Relationship Id="rId110" Type="http://schemas.openxmlformats.org/officeDocument/2006/relationships/hyperlink" Target="https://d1s5m21q2l18ke.cloudfront.net/white_mov_video/h9eb11ohi06.MP4?MTA3OTY=" TargetMode="External"/><Relationship Id="rId11" Type="http://schemas.openxmlformats.org/officeDocument/2006/relationships/hyperlink" Target="https://d1g2oudknjs8jf.cloudfront.net/prodpolweb/cert/GIAh1db5skj23.PDF?MTA3OTY=" TargetMode="External"/><Relationship Id="rId109" Type="http://schemas.openxmlformats.org/officeDocument/2006/relationships/hyperlink" Target="https://d1s5m21q2l18ke.cloudfront.net/v360_mov/h9eb11ohi06.HTML?sv=1&amp;displayAllSideview=1&amp;MTA3OTY=" TargetMode="External"/><Relationship Id="rId108" Type="http://schemas.openxmlformats.org/officeDocument/2006/relationships/hyperlink" Target="https://d1s5m21q2l18ke.cloudfront.net/VISION360/Vision360.html?d=h9eb11ohi06&amp;surl=https://d1s5m21q2l18ke.cloudfront.net/v360_mov_black/&amp;sv=1&amp;displayAllSideview=1&amp;MTA3OTY=" TargetMode="External"/><Relationship Id="rId107" Type="http://schemas.openxmlformats.org/officeDocument/2006/relationships/hyperlink" Target="https://d1s5m21q2l18ke.cloudfront.net/VISION360/Vision360.html?d=h9eb11ohi06&amp;surl=https://d1s5m21q2l18ke.cloudfront.net/v360_mov_white/&amp;sv=1&amp;displayAllSideview=1&amp;MTA3OTY=" TargetMode="External"/><Relationship Id="rId106" Type="http://schemas.openxmlformats.org/officeDocument/2006/relationships/hyperlink" Target="https://d1g2oudknjs8jf.cloudfront.net/prodpolweb/imgfiles/h9eb11ohi06.JPG?MTA3OTY=" TargetMode="External"/><Relationship Id="rId105" Type="http://schemas.openxmlformats.org/officeDocument/2006/relationships/hyperlink" Target="https://d1g2oudknjs8jf.cloudfront.net/prodpolweb/cert/GIAh9eb11ohi06.PDF?MTA3OTY=" TargetMode="External"/><Relationship Id="rId104" Type="http://schemas.openxmlformats.org/officeDocument/2006/relationships/hyperlink" Target="https://d1g2oudknjs8jf.cloudfront.net/prodpolweb/asetimage/n7lb5nhj281.JPG?MTA3OTY=" TargetMode="External"/><Relationship Id="rId103" Type="http://schemas.openxmlformats.org/officeDocument/2006/relationships/hyperlink" Target="https://dyffw9lb8wur6.cloudfront.net/v360videos/n7lb5nhj281.MP4?MTA3OTY=" TargetMode="External"/><Relationship Id="rId102" Type="http://schemas.openxmlformats.org/officeDocument/2006/relationships/hyperlink" Target="https://d1g2oudknjs8jf.cloudfront.net/prodpolweb/fl_img/n7lb5nhj281.PNG?MTA3OTY=" TargetMode="External"/><Relationship Id="rId101" Type="http://schemas.openxmlformats.org/officeDocument/2006/relationships/hyperlink" Target="https://d1s5m21q2l18ke.cloudfront.net/plotting.html?n7lb5nhj281" TargetMode="External"/><Relationship Id="rId100" Type="http://schemas.openxmlformats.org/officeDocument/2006/relationships/hyperlink" Target="https://d1s5m21q2l18ke.cloudfront.net/grey_mov_video/n7lb5nhj281.MP4?MTA3OTY=" TargetMode="External"/><Relationship Id="rId10" Type="http://schemas.openxmlformats.org/officeDocument/2006/relationships/hyperlink" Target="https://d1g2oudknjs8jf.cloudfront.net/prodpolweb/asetimage/l1ib11ohi042.JPG?MTA3OTY=" TargetMode="External"/><Relationship Id="rId1" Type="http://schemas.openxmlformats.org/officeDocument/2006/relationships/hyperlink" Target="https://d1g2oudknjs8jf.cloudfront.net/prodpolweb/cert/GIAl1ib11ohi042.PDF?MTA3OT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00"/>
  <sheetViews>
    <sheetView tabSelected="1" workbookViewId="0">
      <pane ySplit="3" topLeftCell="A4" activePane="bottomLeft" state="frozen"/>
      <selection/>
      <selection pane="bottomLeft" activeCell="B5" sqref="B5"/>
    </sheetView>
  </sheetViews>
  <sheetFormatPr defaultColWidth="14.4296875" defaultRowHeight="15" customHeight="1"/>
  <cols>
    <col min="1" max="1" width="5.4296875" customWidth="1"/>
    <col min="2" max="2" width="10.4296875" customWidth="1"/>
    <col min="3" max="3" width="18.4296875" customWidth="1"/>
    <col min="4" max="4" width="4.5703125" customWidth="1"/>
    <col min="5" max="5" width="6.140625" customWidth="1"/>
    <col min="6" max="6" width="6.5703125" customWidth="1"/>
    <col min="7" max="7" width="12.4296875" customWidth="1"/>
    <col min="8" max="8" width="6" customWidth="1"/>
    <col min="9" max="9" width="6.7109375" customWidth="1"/>
    <col min="10" max="10" width="5.5703125" customWidth="1"/>
    <col min="11" max="11" width="11" customWidth="1"/>
    <col min="12" max="12" width="11.2890625" customWidth="1"/>
    <col min="13" max="13" width="4.7109375" customWidth="1"/>
    <col min="14" max="14" width="3.5703125" customWidth="1"/>
    <col min="15" max="15" width="4.5703125" customWidth="1"/>
    <col min="16" max="16" width="5.4296875" customWidth="1"/>
    <col min="17" max="17" width="6.2890625" customWidth="1"/>
    <col min="18" max="18" width="3" customWidth="1"/>
    <col min="19" max="19" width="6.4296875" customWidth="1"/>
    <col min="20" max="20" width="9.859375" customWidth="1"/>
    <col min="21" max="21" width="8" customWidth="1"/>
    <col min="22" max="22" width="7.5703125" customWidth="1"/>
    <col min="23" max="23" width="7.2890625" customWidth="1"/>
    <col min="24" max="24" width="7.4296875" customWidth="1"/>
    <col min="25" max="25" width="17.2890625" customWidth="1"/>
    <col min="26" max="26" width="5.7109375" customWidth="1"/>
    <col min="27" max="27" width="6" customWidth="1"/>
    <col min="28" max="28" width="8.140625" customWidth="1"/>
    <col min="29" max="29" width="7" customWidth="1"/>
    <col min="30" max="30" width="10.7109375" customWidth="1"/>
    <col min="31" max="31" width="8" customWidth="1"/>
    <col min="32" max="33" width="8.140625" customWidth="1"/>
    <col min="34" max="34" width="11.859375" customWidth="1"/>
    <col min="35" max="35" width="10.859375" customWidth="1"/>
    <col min="36" max="36" width="3.2890625" customWidth="1"/>
    <col min="37" max="37" width="85" customWidth="1"/>
    <col min="38" max="38" width="10.5703125" customWidth="1"/>
    <col min="39" max="39" width="10" customWidth="1"/>
    <col min="40" max="40" width="8.859375" customWidth="1"/>
    <col min="41" max="41" width="174.7109375" customWidth="1"/>
    <col min="42" max="42" width="175" customWidth="1"/>
    <col min="43" max="43" width="104" customWidth="1"/>
    <col min="44" max="44" width="82.5703125" customWidth="1"/>
    <col min="45" max="45" width="63.7109375" customWidth="1"/>
    <col min="46" max="46" width="82" customWidth="1"/>
    <col min="47" max="47" width="7.7109375" customWidth="1"/>
    <col min="48" max="48" width="75.4296875" customWidth="1"/>
    <col min="49" max="49" width="85.859375" customWidth="1"/>
    <col min="50" max="50" width="15.140625" customWidth="1"/>
    <col min="51" max="51" width="48.7109375" customWidth="1"/>
    <col min="52" max="52" width="57.140625" customWidth="1"/>
    <col min="53" max="53" width="9.4296875" customWidth="1"/>
    <col min="54" max="54" width="11.2890625" customWidth="1"/>
    <col min="55" max="55" width="11" customWidth="1"/>
  </cols>
  <sheetData>
    <row r="1" ht="16.8" spans="1:7">
      <c r="A1" t="s">
        <v>0</v>
      </c>
      <c r="G1" s="14" t="s">
        <v>1</v>
      </c>
    </row>
    <row r="3" spans="1:5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</row>
    <row r="4" ht="16.8" spans="1:55">
      <c r="A4" s="2" t="s">
        <v>57</v>
      </c>
      <c r="B4" s="3" t="s">
        <v>58</v>
      </c>
      <c r="C4" s="4" t="s">
        <v>59</v>
      </c>
      <c r="D4" s="5" t="s">
        <v>60</v>
      </c>
      <c r="E4" s="4" t="s">
        <v>61</v>
      </c>
      <c r="F4" s="15">
        <v>1.8</v>
      </c>
      <c r="G4" s="14" t="s">
        <v>62</v>
      </c>
      <c r="H4" s="3">
        <v>-51.1</v>
      </c>
      <c r="I4" s="4" t="s">
        <v>63</v>
      </c>
      <c r="J4" s="4" t="s">
        <v>64</v>
      </c>
      <c r="K4" s="5"/>
      <c r="L4" s="3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71</v>
      </c>
      <c r="S4" s="4" t="s">
        <v>67</v>
      </c>
      <c r="T4" s="3" t="s">
        <v>65</v>
      </c>
      <c r="U4" s="3">
        <v>63</v>
      </c>
      <c r="V4" s="3">
        <v>63</v>
      </c>
      <c r="W4" s="4" t="s">
        <v>72</v>
      </c>
      <c r="X4" s="4" t="s">
        <v>73</v>
      </c>
      <c r="Y4" s="4" t="s">
        <v>74</v>
      </c>
      <c r="Z4" s="22">
        <v>1.602</v>
      </c>
      <c r="AA4" s="3">
        <v>4.9</v>
      </c>
      <c r="AB4" s="3" t="s">
        <v>65</v>
      </c>
      <c r="AC4" s="3" t="s">
        <v>65</v>
      </c>
      <c r="AD4" s="3" t="s">
        <v>65</v>
      </c>
      <c r="AE4" s="4" t="s">
        <v>75</v>
      </c>
      <c r="AF4" s="4" t="s">
        <v>75</v>
      </c>
      <c r="AG4" s="4" t="s">
        <v>75</v>
      </c>
      <c r="AH4" s="4" t="s">
        <v>75</v>
      </c>
      <c r="AI4" s="3" t="s">
        <v>65</v>
      </c>
      <c r="AJ4" s="4" t="s">
        <v>76</v>
      </c>
      <c r="AK4" s="5" t="s">
        <v>77</v>
      </c>
      <c r="AL4" s="3" t="s">
        <v>65</v>
      </c>
      <c r="AM4" s="3" t="s">
        <v>65</v>
      </c>
      <c r="AN4" s="3" t="s">
        <v>65</v>
      </c>
      <c r="AO4" s="5" t="s">
        <v>78</v>
      </c>
      <c r="AP4" s="5" t="s">
        <v>79</v>
      </c>
      <c r="AQ4" s="5" t="s">
        <v>80</v>
      </c>
      <c r="AR4" s="5" t="s">
        <v>81</v>
      </c>
      <c r="AS4" s="5" t="s">
        <v>82</v>
      </c>
      <c r="AT4" s="5" t="s">
        <v>83</v>
      </c>
      <c r="AU4" s="3" t="s">
        <v>65</v>
      </c>
      <c r="AV4" s="5" t="s">
        <v>84</v>
      </c>
      <c r="AW4" s="5" t="s">
        <v>85</v>
      </c>
      <c r="AX4" s="3" t="s">
        <v>65</v>
      </c>
      <c r="AY4" s="4" t="s">
        <v>86</v>
      </c>
      <c r="AZ4" s="3" t="s">
        <v>65</v>
      </c>
      <c r="BA4" s="2" t="s">
        <v>87</v>
      </c>
      <c r="BB4" s="2">
        <f t="shared" ref="BB4:BB54" si="0">IF(TRUNC(F4,2)*BA4=0,"",TRUNC(F4,2)*BA4)</f>
        <v>22320</v>
      </c>
      <c r="BC4" s="15">
        <v>985680</v>
      </c>
    </row>
    <row r="5" ht="16.8" spans="1:55">
      <c r="A5" s="2" t="s">
        <v>88</v>
      </c>
      <c r="B5" s="3" t="s">
        <v>89</v>
      </c>
      <c r="C5" s="4" t="s">
        <v>90</v>
      </c>
      <c r="D5" s="5" t="s">
        <v>60</v>
      </c>
      <c r="E5" s="4" t="s">
        <v>61</v>
      </c>
      <c r="F5" s="15">
        <v>1.5</v>
      </c>
      <c r="G5" s="14" t="s">
        <v>91</v>
      </c>
      <c r="H5" s="3">
        <v>-47.7</v>
      </c>
      <c r="I5" s="4" t="s">
        <v>63</v>
      </c>
      <c r="J5" s="4" t="s">
        <v>64</v>
      </c>
      <c r="K5" s="5"/>
      <c r="L5" s="3" t="s">
        <v>65</v>
      </c>
      <c r="M5" s="4" t="s">
        <v>66</v>
      </c>
      <c r="N5" s="4" t="s">
        <v>67</v>
      </c>
      <c r="O5" s="4" t="s">
        <v>67</v>
      </c>
      <c r="P5" s="4" t="s">
        <v>92</v>
      </c>
      <c r="Q5" s="3" t="s">
        <v>65</v>
      </c>
      <c r="R5" s="3" t="s">
        <v>65</v>
      </c>
      <c r="S5" s="4" t="s">
        <v>67</v>
      </c>
      <c r="T5" s="3" t="s">
        <v>65</v>
      </c>
      <c r="U5" s="3">
        <v>63.9</v>
      </c>
      <c r="V5" s="3">
        <v>65</v>
      </c>
      <c r="W5" s="4" t="s">
        <v>72</v>
      </c>
      <c r="X5" s="4" t="s">
        <v>73</v>
      </c>
      <c r="Y5" s="4" t="s">
        <v>93</v>
      </c>
      <c r="Z5" s="22">
        <v>1.44</v>
      </c>
      <c r="AA5" s="3">
        <v>5.4</v>
      </c>
      <c r="AB5" s="3" t="s">
        <v>65</v>
      </c>
      <c r="AC5" s="3" t="s">
        <v>65</v>
      </c>
      <c r="AD5" s="3" t="s">
        <v>65</v>
      </c>
      <c r="AE5" s="4" t="s">
        <v>75</v>
      </c>
      <c r="AF5" s="4" t="s">
        <v>75</v>
      </c>
      <c r="AG5" s="4" t="s">
        <v>75</v>
      </c>
      <c r="AH5" s="4" t="s">
        <v>75</v>
      </c>
      <c r="AI5" s="3" t="s">
        <v>65</v>
      </c>
      <c r="AJ5" s="4" t="s">
        <v>76</v>
      </c>
      <c r="AK5" s="5" t="s">
        <v>94</v>
      </c>
      <c r="AL5" s="3" t="s">
        <v>65</v>
      </c>
      <c r="AM5" s="3" t="s">
        <v>65</v>
      </c>
      <c r="AN5" s="3" t="s">
        <v>65</v>
      </c>
      <c r="AO5" s="5" t="s">
        <v>95</v>
      </c>
      <c r="AP5" s="5" t="s">
        <v>96</v>
      </c>
      <c r="AQ5" s="5" t="s">
        <v>97</v>
      </c>
      <c r="AR5" s="5" t="s">
        <v>98</v>
      </c>
      <c r="AS5" s="5" t="s">
        <v>99</v>
      </c>
      <c r="AT5" s="3" t="s">
        <v>65</v>
      </c>
      <c r="AU5" s="3" t="s">
        <v>65</v>
      </c>
      <c r="AV5" s="5" t="s">
        <v>100</v>
      </c>
      <c r="AW5" s="5" t="s">
        <v>101</v>
      </c>
      <c r="AX5" s="3" t="s">
        <v>65</v>
      </c>
      <c r="AY5" s="4" t="s">
        <v>86</v>
      </c>
      <c r="AZ5" s="3" t="s">
        <v>65</v>
      </c>
      <c r="BA5" s="2" t="s">
        <v>87</v>
      </c>
      <c r="BB5" s="2">
        <f t="shared" si="0"/>
        <v>18600</v>
      </c>
      <c r="BC5" s="15">
        <v>878850</v>
      </c>
    </row>
    <row r="6" ht="16.8" spans="1:55">
      <c r="A6" s="2" t="s">
        <v>102</v>
      </c>
      <c r="B6" s="3" t="s">
        <v>103</v>
      </c>
      <c r="C6" s="4" t="s">
        <v>90</v>
      </c>
      <c r="D6" s="5" t="s">
        <v>60</v>
      </c>
      <c r="E6" s="4" t="s">
        <v>61</v>
      </c>
      <c r="F6" s="15">
        <v>1.5</v>
      </c>
      <c r="G6" s="14" t="s">
        <v>104</v>
      </c>
      <c r="H6" s="3">
        <v>-47.5</v>
      </c>
      <c r="I6" s="4" t="s">
        <v>63</v>
      </c>
      <c r="J6" s="4" t="s">
        <v>105</v>
      </c>
      <c r="K6" s="5"/>
      <c r="L6" s="3" t="s">
        <v>65</v>
      </c>
      <c r="M6" s="4" t="s">
        <v>66</v>
      </c>
      <c r="N6" s="4" t="s">
        <v>67</v>
      </c>
      <c r="O6" s="4" t="s">
        <v>67</v>
      </c>
      <c r="P6" s="4" t="s">
        <v>92</v>
      </c>
      <c r="Q6" s="3" t="s">
        <v>65</v>
      </c>
      <c r="R6" s="3" t="s">
        <v>65</v>
      </c>
      <c r="S6" s="4" t="s">
        <v>67</v>
      </c>
      <c r="T6" s="3" t="s">
        <v>65</v>
      </c>
      <c r="U6" s="3">
        <v>63.9</v>
      </c>
      <c r="V6" s="3">
        <v>61</v>
      </c>
      <c r="W6" s="4" t="s">
        <v>72</v>
      </c>
      <c r="X6" s="4" t="s">
        <v>73</v>
      </c>
      <c r="Y6" s="4" t="s">
        <v>106</v>
      </c>
      <c r="Z6" s="22">
        <v>1.458</v>
      </c>
      <c r="AA6" s="3">
        <v>5.2</v>
      </c>
      <c r="AB6" s="3" t="s">
        <v>65</v>
      </c>
      <c r="AC6" s="3" t="s">
        <v>65</v>
      </c>
      <c r="AD6" s="3" t="s">
        <v>65</v>
      </c>
      <c r="AE6" s="4" t="s">
        <v>75</v>
      </c>
      <c r="AF6" s="4" t="s">
        <v>75</v>
      </c>
      <c r="AG6" s="4" t="s">
        <v>107</v>
      </c>
      <c r="AH6" s="4" t="s">
        <v>75</v>
      </c>
      <c r="AI6" s="3" t="s">
        <v>65</v>
      </c>
      <c r="AJ6" s="4" t="s">
        <v>76</v>
      </c>
      <c r="AK6" s="5" t="s">
        <v>108</v>
      </c>
      <c r="AL6" s="3" t="s">
        <v>65</v>
      </c>
      <c r="AM6" s="3" t="s">
        <v>65</v>
      </c>
      <c r="AN6" s="3" t="s">
        <v>65</v>
      </c>
      <c r="AO6" s="5" t="s">
        <v>109</v>
      </c>
      <c r="AP6" s="5" t="s">
        <v>110</v>
      </c>
      <c r="AQ6" s="5" t="s">
        <v>111</v>
      </c>
      <c r="AR6" s="5" t="s">
        <v>112</v>
      </c>
      <c r="AS6" s="5" t="s">
        <v>113</v>
      </c>
      <c r="AT6" s="3" t="s">
        <v>65</v>
      </c>
      <c r="AU6" s="3" t="s">
        <v>65</v>
      </c>
      <c r="AV6" s="5" t="s">
        <v>114</v>
      </c>
      <c r="AW6" s="5" t="s">
        <v>115</v>
      </c>
      <c r="AX6" s="3" t="s">
        <v>65</v>
      </c>
      <c r="AY6" s="4" t="s">
        <v>116</v>
      </c>
      <c r="AZ6" s="4" t="s">
        <v>117</v>
      </c>
      <c r="BA6" s="2" t="s">
        <v>118</v>
      </c>
      <c r="BB6" s="2">
        <f t="shared" si="0"/>
        <v>17250</v>
      </c>
      <c r="BC6" s="15">
        <v>818100</v>
      </c>
    </row>
    <row r="7" ht="16.8" spans="1:55">
      <c r="A7" s="2" t="s">
        <v>119</v>
      </c>
      <c r="B7" s="3" t="s">
        <v>120</v>
      </c>
      <c r="C7" s="3" t="s">
        <v>65</v>
      </c>
      <c r="D7" s="5" t="s">
        <v>60</v>
      </c>
      <c r="E7" s="4" t="s">
        <v>61</v>
      </c>
      <c r="F7" s="15">
        <v>1.5</v>
      </c>
      <c r="G7" s="14" t="s">
        <v>121</v>
      </c>
      <c r="H7" s="3">
        <v>-43.2</v>
      </c>
      <c r="I7" s="4" t="s">
        <v>63</v>
      </c>
      <c r="J7" s="4" t="s">
        <v>105</v>
      </c>
      <c r="K7" s="5"/>
      <c r="L7" s="3" t="s">
        <v>65</v>
      </c>
      <c r="M7" s="4" t="s">
        <v>67</v>
      </c>
      <c r="N7" s="4" t="s">
        <v>67</v>
      </c>
      <c r="O7" s="4" t="s">
        <v>67</v>
      </c>
      <c r="P7" s="4" t="s">
        <v>92</v>
      </c>
      <c r="Q7" s="3" t="s">
        <v>65</v>
      </c>
      <c r="R7" s="3" t="s">
        <v>65</v>
      </c>
      <c r="S7" s="4" t="s">
        <v>67</v>
      </c>
      <c r="T7" s="3" t="s">
        <v>65</v>
      </c>
      <c r="U7" s="3">
        <v>61.6</v>
      </c>
      <c r="V7" s="3">
        <v>61</v>
      </c>
      <c r="W7" s="4" t="s">
        <v>72</v>
      </c>
      <c r="X7" s="4" t="s">
        <v>73</v>
      </c>
      <c r="Y7" s="4" t="s">
        <v>122</v>
      </c>
      <c r="Z7" s="22">
        <v>1.411</v>
      </c>
      <c r="AA7" s="3">
        <v>3.8</v>
      </c>
      <c r="AB7" s="3" t="s">
        <v>65</v>
      </c>
      <c r="AC7" s="3" t="s">
        <v>65</v>
      </c>
      <c r="AD7" s="3" t="s">
        <v>65</v>
      </c>
      <c r="AE7" s="4" t="s">
        <v>75</v>
      </c>
      <c r="AF7" s="4" t="s">
        <v>75</v>
      </c>
      <c r="AG7" s="4" t="s">
        <v>75</v>
      </c>
      <c r="AH7" s="4" t="s">
        <v>75</v>
      </c>
      <c r="AI7" s="3" t="s">
        <v>65</v>
      </c>
      <c r="AJ7" s="4" t="s">
        <v>76</v>
      </c>
      <c r="AK7" s="5" t="s">
        <v>123</v>
      </c>
      <c r="AL7" s="3" t="s">
        <v>65</v>
      </c>
      <c r="AM7" s="3" t="s">
        <v>65</v>
      </c>
      <c r="AN7" s="3" t="s">
        <v>65</v>
      </c>
      <c r="AO7" s="5" t="s">
        <v>124</v>
      </c>
      <c r="AP7" s="5" t="s">
        <v>125</v>
      </c>
      <c r="AQ7" s="5" t="s">
        <v>126</v>
      </c>
      <c r="AR7" s="5" t="s">
        <v>127</v>
      </c>
      <c r="AS7" s="5" t="s">
        <v>128</v>
      </c>
      <c r="AT7" s="3" t="s">
        <v>65</v>
      </c>
      <c r="AU7" s="3" t="s">
        <v>65</v>
      </c>
      <c r="AV7" s="5" t="s">
        <v>129</v>
      </c>
      <c r="AW7" s="5" t="s">
        <v>130</v>
      </c>
      <c r="AX7" s="3" t="s">
        <v>65</v>
      </c>
      <c r="AY7" s="4" t="s">
        <v>131</v>
      </c>
      <c r="AZ7" s="3" t="s">
        <v>65</v>
      </c>
      <c r="BA7" s="2" t="s">
        <v>118</v>
      </c>
      <c r="BB7" s="2">
        <f t="shared" si="0"/>
        <v>17250</v>
      </c>
      <c r="BC7" s="15">
        <v>885450</v>
      </c>
    </row>
    <row r="8" ht="16.8" spans="1:55">
      <c r="A8" s="2" t="s">
        <v>132</v>
      </c>
      <c r="B8" s="3" t="s">
        <v>133</v>
      </c>
      <c r="C8" s="3" t="s">
        <v>65</v>
      </c>
      <c r="D8" s="5" t="s">
        <v>60</v>
      </c>
      <c r="E8" s="4" t="s">
        <v>61</v>
      </c>
      <c r="F8" s="15">
        <v>1.51</v>
      </c>
      <c r="G8" s="14" t="s">
        <v>134</v>
      </c>
      <c r="H8" s="3">
        <v>-63.9</v>
      </c>
      <c r="I8" s="4" t="s">
        <v>63</v>
      </c>
      <c r="J8" s="4" t="s">
        <v>105</v>
      </c>
      <c r="K8" s="5"/>
      <c r="L8" s="3" t="s">
        <v>65</v>
      </c>
      <c r="M8" s="4" t="s">
        <v>68</v>
      </c>
      <c r="N8" s="4" t="s">
        <v>67</v>
      </c>
      <c r="O8" s="4" t="s">
        <v>67</v>
      </c>
      <c r="P8" s="4" t="s">
        <v>69</v>
      </c>
      <c r="Q8" s="4" t="s">
        <v>70</v>
      </c>
      <c r="R8" s="4" t="s">
        <v>71</v>
      </c>
      <c r="S8" s="4" t="s">
        <v>67</v>
      </c>
      <c r="T8" s="3" t="s">
        <v>65</v>
      </c>
      <c r="U8" s="3">
        <v>61.1</v>
      </c>
      <c r="V8" s="3">
        <v>64</v>
      </c>
      <c r="W8" s="4" t="s">
        <v>72</v>
      </c>
      <c r="X8" s="4" t="s">
        <v>73</v>
      </c>
      <c r="Y8" s="4" t="s">
        <v>135</v>
      </c>
      <c r="Z8" s="22">
        <v>1.394</v>
      </c>
      <c r="AA8" s="3">
        <v>4.9</v>
      </c>
      <c r="AB8" s="3" t="s">
        <v>65</v>
      </c>
      <c r="AC8" s="4" t="s">
        <v>71</v>
      </c>
      <c r="AD8" s="4" t="s">
        <v>136</v>
      </c>
      <c r="AE8" s="4" t="s">
        <v>75</v>
      </c>
      <c r="AF8" s="4" t="s">
        <v>75</v>
      </c>
      <c r="AG8" s="4" t="s">
        <v>75</v>
      </c>
      <c r="AH8" s="4" t="s">
        <v>75</v>
      </c>
      <c r="AI8" s="3" t="s">
        <v>65</v>
      </c>
      <c r="AJ8" s="4" t="s">
        <v>76</v>
      </c>
      <c r="AK8" s="5" t="s">
        <v>137</v>
      </c>
      <c r="AL8" s="3" t="s">
        <v>65</v>
      </c>
      <c r="AM8" s="3" t="s">
        <v>65</v>
      </c>
      <c r="AN8" s="3" t="s">
        <v>65</v>
      </c>
      <c r="AO8" s="5" t="s">
        <v>138</v>
      </c>
      <c r="AP8" s="5" t="s">
        <v>139</v>
      </c>
      <c r="AQ8" s="5" t="s">
        <v>140</v>
      </c>
      <c r="AR8" s="5" t="s">
        <v>141</v>
      </c>
      <c r="AS8" s="5" t="s">
        <v>142</v>
      </c>
      <c r="AT8" s="5" t="s">
        <v>143</v>
      </c>
      <c r="AU8" s="3" t="s">
        <v>65</v>
      </c>
      <c r="AV8" s="5" t="s">
        <v>144</v>
      </c>
      <c r="AW8" s="5" t="s">
        <v>145</v>
      </c>
      <c r="AX8" s="3" t="s">
        <v>65</v>
      </c>
      <c r="AY8" s="4" t="s">
        <v>131</v>
      </c>
      <c r="AZ8" s="3" t="s">
        <v>65</v>
      </c>
      <c r="BA8" s="2" t="s">
        <v>118</v>
      </c>
      <c r="BB8" s="2">
        <f t="shared" si="0"/>
        <v>17365</v>
      </c>
      <c r="BC8" s="15">
        <v>566552</v>
      </c>
    </row>
    <row r="9" ht="16.8" spans="1:55">
      <c r="A9" s="2" t="s">
        <v>146</v>
      </c>
      <c r="B9" s="3" t="s">
        <v>147</v>
      </c>
      <c r="C9" s="3" t="s">
        <v>65</v>
      </c>
      <c r="D9" s="5" t="s">
        <v>60</v>
      </c>
      <c r="E9" s="4" t="s">
        <v>61</v>
      </c>
      <c r="F9" s="15">
        <v>1.51</v>
      </c>
      <c r="G9" s="14" t="s">
        <v>148</v>
      </c>
      <c r="H9" s="3">
        <v>-61.1</v>
      </c>
      <c r="I9" s="4" t="s">
        <v>149</v>
      </c>
      <c r="J9" s="4" t="s">
        <v>105</v>
      </c>
      <c r="K9" s="5"/>
      <c r="L9" s="3" t="s">
        <v>65</v>
      </c>
      <c r="M9" s="4" t="s">
        <v>66</v>
      </c>
      <c r="N9" s="4" t="s">
        <v>67</v>
      </c>
      <c r="O9" s="4" t="s">
        <v>67</v>
      </c>
      <c r="P9" s="4" t="s">
        <v>69</v>
      </c>
      <c r="Q9" s="4" t="s">
        <v>70</v>
      </c>
      <c r="R9" s="4" t="s">
        <v>71</v>
      </c>
      <c r="S9" s="4" t="s">
        <v>67</v>
      </c>
      <c r="T9" s="3" t="s">
        <v>65</v>
      </c>
      <c r="U9" s="3">
        <v>63.3</v>
      </c>
      <c r="V9" s="3">
        <v>63</v>
      </c>
      <c r="W9" s="4" t="s">
        <v>72</v>
      </c>
      <c r="X9" s="4" t="s">
        <v>73</v>
      </c>
      <c r="Y9" s="4" t="s">
        <v>150</v>
      </c>
      <c r="Z9" s="22">
        <v>1.402</v>
      </c>
      <c r="AA9" s="3">
        <v>5.5</v>
      </c>
      <c r="AB9" s="3" t="s">
        <v>65</v>
      </c>
      <c r="AC9" s="3" t="s">
        <v>65</v>
      </c>
      <c r="AD9" s="3" t="s">
        <v>65</v>
      </c>
      <c r="AE9" s="4" t="s">
        <v>75</v>
      </c>
      <c r="AF9" s="4" t="s">
        <v>75</v>
      </c>
      <c r="AG9" s="4" t="s">
        <v>107</v>
      </c>
      <c r="AH9" s="4" t="s">
        <v>75</v>
      </c>
      <c r="AI9" s="3" t="s">
        <v>65</v>
      </c>
      <c r="AJ9" s="4" t="s">
        <v>76</v>
      </c>
      <c r="AK9" s="5" t="s">
        <v>151</v>
      </c>
      <c r="AL9" s="3" t="s">
        <v>65</v>
      </c>
      <c r="AM9" s="3" t="s">
        <v>65</v>
      </c>
      <c r="AN9" s="3" t="s">
        <v>65</v>
      </c>
      <c r="AO9" s="5" t="s">
        <v>152</v>
      </c>
      <c r="AP9" s="5" t="s">
        <v>153</v>
      </c>
      <c r="AQ9" s="5" t="s">
        <v>154</v>
      </c>
      <c r="AR9" s="5" t="s">
        <v>155</v>
      </c>
      <c r="AS9" s="5" t="s">
        <v>156</v>
      </c>
      <c r="AT9" s="5" t="s">
        <v>157</v>
      </c>
      <c r="AU9" s="3" t="s">
        <v>65</v>
      </c>
      <c r="AV9" s="5" t="s">
        <v>158</v>
      </c>
      <c r="AW9" s="5" t="s">
        <v>159</v>
      </c>
      <c r="AX9" s="3" t="s">
        <v>65</v>
      </c>
      <c r="AY9" s="4" t="s">
        <v>160</v>
      </c>
      <c r="AZ9" s="3" t="s">
        <v>65</v>
      </c>
      <c r="BA9" s="2" t="s">
        <v>161</v>
      </c>
      <c r="BB9" s="2">
        <f t="shared" si="0"/>
        <v>16308</v>
      </c>
      <c r="BC9" s="15">
        <v>573800</v>
      </c>
    </row>
    <row r="10" ht="16.8" spans="1:55">
      <c r="A10" s="2" t="s">
        <v>162</v>
      </c>
      <c r="B10" s="3" t="s">
        <v>163</v>
      </c>
      <c r="C10" s="3" t="s">
        <v>65</v>
      </c>
      <c r="D10" s="5" t="s">
        <v>60</v>
      </c>
      <c r="E10" s="4" t="s">
        <v>61</v>
      </c>
      <c r="F10" s="15">
        <v>1.51</v>
      </c>
      <c r="G10" s="14" t="s">
        <v>164</v>
      </c>
      <c r="H10" s="3">
        <v>-49.5</v>
      </c>
      <c r="I10" s="4" t="s">
        <v>63</v>
      </c>
      <c r="J10" s="4" t="s">
        <v>105</v>
      </c>
      <c r="K10" s="5"/>
      <c r="L10" s="3" t="s">
        <v>65</v>
      </c>
      <c r="M10" s="4" t="s">
        <v>68</v>
      </c>
      <c r="N10" s="4" t="s">
        <v>67</v>
      </c>
      <c r="O10" s="4" t="s">
        <v>68</v>
      </c>
      <c r="P10" s="4" t="s">
        <v>92</v>
      </c>
      <c r="Q10" s="3" t="s">
        <v>65</v>
      </c>
      <c r="R10" s="3" t="s">
        <v>65</v>
      </c>
      <c r="S10" s="4" t="s">
        <v>67</v>
      </c>
      <c r="T10" s="3" t="s">
        <v>65</v>
      </c>
      <c r="U10" s="3">
        <v>63.9</v>
      </c>
      <c r="V10" s="3">
        <v>64</v>
      </c>
      <c r="W10" s="4" t="s">
        <v>72</v>
      </c>
      <c r="X10" s="4" t="s">
        <v>73</v>
      </c>
      <c r="Y10" s="4" t="s">
        <v>165</v>
      </c>
      <c r="Z10" s="22">
        <v>1.392</v>
      </c>
      <c r="AA10" s="3">
        <v>5.5</v>
      </c>
      <c r="AB10" s="3" t="s">
        <v>65</v>
      </c>
      <c r="AC10" s="3" t="s">
        <v>65</v>
      </c>
      <c r="AD10" s="3" t="s">
        <v>65</v>
      </c>
      <c r="AE10" s="4" t="s">
        <v>75</v>
      </c>
      <c r="AF10" s="4" t="s">
        <v>75</v>
      </c>
      <c r="AG10" s="4" t="s">
        <v>107</v>
      </c>
      <c r="AH10" s="4" t="s">
        <v>75</v>
      </c>
      <c r="AI10" s="3" t="s">
        <v>65</v>
      </c>
      <c r="AJ10" s="4" t="s">
        <v>76</v>
      </c>
      <c r="AK10" s="5" t="s">
        <v>166</v>
      </c>
      <c r="AL10" s="3" t="s">
        <v>65</v>
      </c>
      <c r="AM10" s="3" t="s">
        <v>65</v>
      </c>
      <c r="AN10" s="3" t="s">
        <v>65</v>
      </c>
      <c r="AO10" s="5" t="s">
        <v>167</v>
      </c>
      <c r="AP10" s="5" t="s">
        <v>168</v>
      </c>
      <c r="AQ10" s="5" t="s">
        <v>169</v>
      </c>
      <c r="AR10" s="5" t="s">
        <v>170</v>
      </c>
      <c r="AS10" s="5" t="s">
        <v>171</v>
      </c>
      <c r="AT10" s="3" t="s">
        <v>65</v>
      </c>
      <c r="AU10" s="3" t="s">
        <v>65</v>
      </c>
      <c r="AV10" s="5" t="s">
        <v>172</v>
      </c>
      <c r="AW10" s="5" t="s">
        <v>173</v>
      </c>
      <c r="AX10" s="3" t="s">
        <v>65</v>
      </c>
      <c r="AY10" s="4" t="s">
        <v>174</v>
      </c>
      <c r="AZ10" s="3" t="s">
        <v>65</v>
      </c>
      <c r="BA10" s="2" t="s">
        <v>118</v>
      </c>
      <c r="BB10" s="2">
        <f t="shared" si="0"/>
        <v>17365</v>
      </c>
      <c r="BC10" s="15">
        <v>792297</v>
      </c>
    </row>
    <row r="11" ht="16.8" spans="1:55">
      <c r="A11" s="2" t="s">
        <v>175</v>
      </c>
      <c r="B11" s="3" t="s">
        <v>176</v>
      </c>
      <c r="C11" s="4" t="s">
        <v>177</v>
      </c>
      <c r="D11" s="5" t="s">
        <v>60</v>
      </c>
      <c r="E11" s="4" t="s">
        <v>61</v>
      </c>
      <c r="F11" s="15">
        <v>1.5</v>
      </c>
      <c r="G11" s="14" t="s">
        <v>178</v>
      </c>
      <c r="H11" s="3">
        <v>-66.9</v>
      </c>
      <c r="I11" s="4" t="s">
        <v>63</v>
      </c>
      <c r="J11" s="4" t="s">
        <v>105</v>
      </c>
      <c r="K11" s="5"/>
      <c r="L11" s="3" t="s">
        <v>65</v>
      </c>
      <c r="M11" s="4" t="s">
        <v>179</v>
      </c>
      <c r="N11" s="4" t="s">
        <v>67</v>
      </c>
      <c r="O11" s="4" t="s">
        <v>68</v>
      </c>
      <c r="P11" s="4" t="s">
        <v>69</v>
      </c>
      <c r="Q11" s="4" t="s">
        <v>70</v>
      </c>
      <c r="R11" s="4" t="s">
        <v>71</v>
      </c>
      <c r="S11" s="4" t="s">
        <v>67</v>
      </c>
      <c r="T11" s="3" t="s">
        <v>65</v>
      </c>
      <c r="U11" s="3">
        <v>65.9</v>
      </c>
      <c r="V11" s="3">
        <v>54</v>
      </c>
      <c r="W11" s="4" t="s">
        <v>72</v>
      </c>
      <c r="X11" s="4" t="s">
        <v>180</v>
      </c>
      <c r="Y11" s="4" t="s">
        <v>181</v>
      </c>
      <c r="Z11" s="22">
        <v>1.367</v>
      </c>
      <c r="AA11" s="3">
        <v>5.2</v>
      </c>
      <c r="AB11" s="3" t="s">
        <v>65</v>
      </c>
      <c r="AC11" s="3" t="s">
        <v>65</v>
      </c>
      <c r="AD11" s="3" t="s">
        <v>65</v>
      </c>
      <c r="AE11" s="4" t="s">
        <v>75</v>
      </c>
      <c r="AF11" s="4" t="s">
        <v>75</v>
      </c>
      <c r="AG11" s="4" t="s">
        <v>182</v>
      </c>
      <c r="AH11" s="4" t="s">
        <v>75</v>
      </c>
      <c r="AI11" s="3" t="s">
        <v>65</v>
      </c>
      <c r="AJ11" s="4" t="s">
        <v>76</v>
      </c>
      <c r="AK11" s="5" t="s">
        <v>183</v>
      </c>
      <c r="AL11" s="3" t="s">
        <v>65</v>
      </c>
      <c r="AM11" s="3" t="s">
        <v>65</v>
      </c>
      <c r="AN11" s="3" t="s">
        <v>65</v>
      </c>
      <c r="AO11" s="5" t="s">
        <v>184</v>
      </c>
      <c r="AP11" s="5" t="s">
        <v>185</v>
      </c>
      <c r="AQ11" s="5" t="s">
        <v>186</v>
      </c>
      <c r="AR11" s="5" t="s">
        <v>187</v>
      </c>
      <c r="AS11" s="5" t="s">
        <v>188</v>
      </c>
      <c r="AT11" s="5" t="s">
        <v>189</v>
      </c>
      <c r="AU11" s="3" t="s">
        <v>65</v>
      </c>
      <c r="AV11" s="5" t="s">
        <v>190</v>
      </c>
      <c r="AW11" s="5" t="s">
        <v>191</v>
      </c>
      <c r="AX11" s="3" t="s">
        <v>65</v>
      </c>
      <c r="AY11" s="4" t="s">
        <v>192</v>
      </c>
      <c r="AZ11" s="3" t="s">
        <v>65</v>
      </c>
      <c r="BA11" s="2" t="s">
        <v>118</v>
      </c>
      <c r="BB11" s="2">
        <f t="shared" si="0"/>
        <v>17250</v>
      </c>
      <c r="BC11" s="15">
        <v>515100</v>
      </c>
    </row>
    <row r="12" ht="16.8" spans="1:55">
      <c r="A12" s="2" t="s">
        <v>193</v>
      </c>
      <c r="B12" s="3" t="s">
        <v>194</v>
      </c>
      <c r="C12" s="4" t="s">
        <v>59</v>
      </c>
      <c r="D12" s="5" t="s">
        <v>60</v>
      </c>
      <c r="E12" s="4" t="s">
        <v>61</v>
      </c>
      <c r="F12" s="15">
        <v>1.61</v>
      </c>
      <c r="G12" s="14" t="s">
        <v>195</v>
      </c>
      <c r="H12" s="3">
        <v>-37.6</v>
      </c>
      <c r="I12" s="4" t="s">
        <v>63</v>
      </c>
      <c r="J12" s="4" t="s">
        <v>196</v>
      </c>
      <c r="K12" s="5"/>
      <c r="L12" s="3" t="s">
        <v>65</v>
      </c>
      <c r="M12" s="4" t="s">
        <v>197</v>
      </c>
      <c r="N12" s="4" t="s">
        <v>67</v>
      </c>
      <c r="O12" s="4" t="s">
        <v>67</v>
      </c>
      <c r="P12" s="4" t="s">
        <v>92</v>
      </c>
      <c r="Q12" s="3" t="s">
        <v>65</v>
      </c>
      <c r="R12" s="3" t="s">
        <v>65</v>
      </c>
      <c r="S12" s="4" t="s">
        <v>67</v>
      </c>
      <c r="T12" s="3" t="s">
        <v>65</v>
      </c>
      <c r="U12" s="3">
        <v>62.5</v>
      </c>
      <c r="V12" s="3">
        <v>58</v>
      </c>
      <c r="W12" s="4" t="s">
        <v>72</v>
      </c>
      <c r="X12" s="4" t="s">
        <v>73</v>
      </c>
      <c r="Y12" s="4" t="s">
        <v>198</v>
      </c>
      <c r="Z12" s="22">
        <v>1.45</v>
      </c>
      <c r="AA12" s="3">
        <v>4.2</v>
      </c>
      <c r="AB12" s="3" t="s">
        <v>65</v>
      </c>
      <c r="AC12" s="3" t="s">
        <v>65</v>
      </c>
      <c r="AD12" s="3" t="s">
        <v>65</v>
      </c>
      <c r="AE12" s="4" t="s">
        <v>75</v>
      </c>
      <c r="AF12" s="4" t="s">
        <v>75</v>
      </c>
      <c r="AG12" s="4" t="s">
        <v>75</v>
      </c>
      <c r="AH12" s="4" t="s">
        <v>75</v>
      </c>
      <c r="AI12" s="3" t="s">
        <v>65</v>
      </c>
      <c r="AJ12" s="4" t="s">
        <v>76</v>
      </c>
      <c r="AK12" s="5" t="s">
        <v>199</v>
      </c>
      <c r="AL12" s="3" t="s">
        <v>65</v>
      </c>
      <c r="AM12" s="3" t="s">
        <v>65</v>
      </c>
      <c r="AN12" s="3" t="s">
        <v>65</v>
      </c>
      <c r="AO12" s="5" t="s">
        <v>200</v>
      </c>
      <c r="AP12" s="5" t="s">
        <v>201</v>
      </c>
      <c r="AQ12" s="5" t="s">
        <v>202</v>
      </c>
      <c r="AR12" s="5" t="s">
        <v>203</v>
      </c>
      <c r="AS12" s="5" t="s">
        <v>204</v>
      </c>
      <c r="AT12" s="3" t="s">
        <v>65</v>
      </c>
      <c r="AU12" s="3" t="s">
        <v>65</v>
      </c>
      <c r="AV12" s="5" t="s">
        <v>205</v>
      </c>
      <c r="AW12" s="5" t="s">
        <v>206</v>
      </c>
      <c r="AX12" s="3" t="s">
        <v>65</v>
      </c>
      <c r="AY12" s="4" t="s">
        <v>207</v>
      </c>
      <c r="AZ12" s="3" t="s">
        <v>65</v>
      </c>
      <c r="BA12" s="2" t="s">
        <v>208</v>
      </c>
      <c r="BB12" s="2">
        <f t="shared" si="0"/>
        <v>16905</v>
      </c>
      <c r="BC12" s="15">
        <v>952959</v>
      </c>
    </row>
    <row r="13" ht="16.8" spans="1:55">
      <c r="A13" s="2" t="s">
        <v>209</v>
      </c>
      <c r="B13" s="3" t="s">
        <v>210</v>
      </c>
      <c r="C13" s="3" t="s">
        <v>65</v>
      </c>
      <c r="D13" s="5" t="s">
        <v>60</v>
      </c>
      <c r="E13" s="4" t="s">
        <v>61</v>
      </c>
      <c r="F13" s="15">
        <v>1.52</v>
      </c>
      <c r="G13" s="14" t="s">
        <v>211</v>
      </c>
      <c r="H13" s="3">
        <v>-44.8</v>
      </c>
      <c r="I13" s="4" t="s">
        <v>63</v>
      </c>
      <c r="J13" s="4" t="s">
        <v>196</v>
      </c>
      <c r="K13" s="5"/>
      <c r="L13" s="3" t="s">
        <v>65</v>
      </c>
      <c r="M13" s="4" t="s">
        <v>66</v>
      </c>
      <c r="N13" s="4" t="s">
        <v>67</v>
      </c>
      <c r="O13" s="4" t="s">
        <v>67</v>
      </c>
      <c r="P13" s="4" t="s">
        <v>92</v>
      </c>
      <c r="Q13" s="3" t="s">
        <v>65</v>
      </c>
      <c r="R13" s="3" t="s">
        <v>65</v>
      </c>
      <c r="S13" s="4" t="s">
        <v>67</v>
      </c>
      <c r="T13" s="3" t="s">
        <v>65</v>
      </c>
      <c r="U13" s="3">
        <v>63.5</v>
      </c>
      <c r="V13" s="3">
        <v>66</v>
      </c>
      <c r="W13" s="4" t="s">
        <v>72</v>
      </c>
      <c r="X13" s="4" t="s">
        <v>73</v>
      </c>
      <c r="Y13" s="4" t="s">
        <v>212</v>
      </c>
      <c r="Z13" s="22">
        <v>1.458</v>
      </c>
      <c r="AA13" s="3">
        <v>5.4</v>
      </c>
      <c r="AB13" s="3" t="s">
        <v>65</v>
      </c>
      <c r="AC13" s="3" t="s">
        <v>65</v>
      </c>
      <c r="AD13" s="3" t="s">
        <v>65</v>
      </c>
      <c r="AE13" s="4" t="s">
        <v>75</v>
      </c>
      <c r="AF13" s="4" t="s">
        <v>75</v>
      </c>
      <c r="AG13" s="4" t="s">
        <v>75</v>
      </c>
      <c r="AH13" s="4" t="s">
        <v>75</v>
      </c>
      <c r="AI13" s="3" t="s">
        <v>65</v>
      </c>
      <c r="AJ13" s="4" t="s">
        <v>76</v>
      </c>
      <c r="AK13" s="5" t="s">
        <v>213</v>
      </c>
      <c r="AL13" s="3" t="s">
        <v>65</v>
      </c>
      <c r="AM13" s="3" t="s">
        <v>65</v>
      </c>
      <c r="AN13" s="3" t="s">
        <v>65</v>
      </c>
      <c r="AO13" s="5" t="s">
        <v>214</v>
      </c>
      <c r="AP13" s="5" t="s">
        <v>215</v>
      </c>
      <c r="AQ13" s="5" t="s">
        <v>216</v>
      </c>
      <c r="AR13" s="5" t="s">
        <v>217</v>
      </c>
      <c r="AS13" s="5" t="s">
        <v>218</v>
      </c>
      <c r="AT13" s="3" t="s">
        <v>65</v>
      </c>
      <c r="AU13" s="3" t="s">
        <v>65</v>
      </c>
      <c r="AV13" s="5" t="s">
        <v>219</v>
      </c>
      <c r="AW13" s="5" t="s">
        <v>220</v>
      </c>
      <c r="AX13" s="3" t="s">
        <v>65</v>
      </c>
      <c r="AY13" s="4" t="s">
        <v>221</v>
      </c>
      <c r="AZ13" s="3" t="s">
        <v>65</v>
      </c>
      <c r="BA13" s="2" t="s">
        <v>208</v>
      </c>
      <c r="BB13" s="2">
        <f t="shared" si="0"/>
        <v>15960</v>
      </c>
      <c r="BC13" s="15">
        <v>796176</v>
      </c>
    </row>
    <row r="14" ht="16.8" spans="1:55">
      <c r="A14" s="2" t="s">
        <v>222</v>
      </c>
      <c r="B14" s="3" t="s">
        <v>223</v>
      </c>
      <c r="C14" s="3" t="s">
        <v>65</v>
      </c>
      <c r="D14" s="5" t="s">
        <v>60</v>
      </c>
      <c r="E14" s="4" t="s">
        <v>61</v>
      </c>
      <c r="F14" s="15">
        <v>1.7</v>
      </c>
      <c r="G14" s="14" t="s">
        <v>224</v>
      </c>
      <c r="H14" s="3">
        <v>-59.4</v>
      </c>
      <c r="I14" s="4" t="s">
        <v>63</v>
      </c>
      <c r="J14" s="4" t="s">
        <v>196</v>
      </c>
      <c r="K14" s="5"/>
      <c r="L14" s="3" t="s">
        <v>65</v>
      </c>
      <c r="M14" s="4" t="s">
        <v>179</v>
      </c>
      <c r="N14" s="4" t="s">
        <v>67</v>
      </c>
      <c r="O14" s="4" t="s">
        <v>67</v>
      </c>
      <c r="P14" s="4" t="s">
        <v>69</v>
      </c>
      <c r="Q14" s="4" t="s">
        <v>70</v>
      </c>
      <c r="R14" s="4" t="s">
        <v>71</v>
      </c>
      <c r="S14" s="4" t="s">
        <v>67</v>
      </c>
      <c r="T14" s="3" t="s">
        <v>65</v>
      </c>
      <c r="U14" s="3">
        <v>65.5</v>
      </c>
      <c r="V14" s="3">
        <v>54</v>
      </c>
      <c r="W14" s="4" t="s">
        <v>72</v>
      </c>
      <c r="X14" s="4" t="s">
        <v>73</v>
      </c>
      <c r="Y14" s="4" t="s">
        <v>225</v>
      </c>
      <c r="Z14" s="22">
        <v>1.37</v>
      </c>
      <c r="AA14" s="3">
        <v>6.1</v>
      </c>
      <c r="AB14" s="3" t="s">
        <v>65</v>
      </c>
      <c r="AC14" s="3" t="s">
        <v>65</v>
      </c>
      <c r="AD14" s="3" t="s">
        <v>65</v>
      </c>
      <c r="AE14" s="4" t="s">
        <v>75</v>
      </c>
      <c r="AF14" s="4" t="s">
        <v>75</v>
      </c>
      <c r="AG14" s="4" t="s">
        <v>182</v>
      </c>
      <c r="AH14" s="4" t="s">
        <v>75</v>
      </c>
      <c r="AI14" s="3" t="s">
        <v>65</v>
      </c>
      <c r="AJ14" s="4" t="s">
        <v>76</v>
      </c>
      <c r="AK14" s="5" t="s">
        <v>226</v>
      </c>
      <c r="AL14" s="3" t="s">
        <v>65</v>
      </c>
      <c r="AM14" s="3" t="s">
        <v>65</v>
      </c>
      <c r="AN14" s="3" t="s">
        <v>65</v>
      </c>
      <c r="AO14" s="5" t="s">
        <v>227</v>
      </c>
      <c r="AP14" s="5" t="s">
        <v>228</v>
      </c>
      <c r="AQ14" s="5" t="s">
        <v>229</v>
      </c>
      <c r="AR14" s="5" t="s">
        <v>230</v>
      </c>
      <c r="AS14" s="5" t="s">
        <v>231</v>
      </c>
      <c r="AT14" s="5" t="s">
        <v>232</v>
      </c>
      <c r="AU14" s="3" t="s">
        <v>65</v>
      </c>
      <c r="AV14" s="5" t="s">
        <v>233</v>
      </c>
      <c r="AW14" s="5" t="s">
        <v>234</v>
      </c>
      <c r="AX14" s="3" t="s">
        <v>65</v>
      </c>
      <c r="AY14" s="4" t="s">
        <v>235</v>
      </c>
      <c r="AZ14" s="3" t="s">
        <v>65</v>
      </c>
      <c r="BA14" s="2" t="s">
        <v>208</v>
      </c>
      <c r="BB14" s="2">
        <f t="shared" si="0"/>
        <v>17850</v>
      </c>
      <c r="BC14" s="15">
        <v>655350</v>
      </c>
    </row>
    <row r="15" ht="16.8" spans="1:55">
      <c r="A15" s="2" t="s">
        <v>236</v>
      </c>
      <c r="B15" s="3" t="s">
        <v>237</v>
      </c>
      <c r="C15" s="4" t="s">
        <v>238</v>
      </c>
      <c r="D15" s="5" t="s">
        <v>60</v>
      </c>
      <c r="E15" s="4" t="s">
        <v>61</v>
      </c>
      <c r="F15" s="15">
        <v>1.8</v>
      </c>
      <c r="G15" s="14" t="s">
        <v>239</v>
      </c>
      <c r="H15" s="3">
        <v>-58.8</v>
      </c>
      <c r="I15" s="4" t="s">
        <v>149</v>
      </c>
      <c r="J15" s="4" t="s">
        <v>240</v>
      </c>
      <c r="K15" s="5"/>
      <c r="L15" s="3" t="s">
        <v>65</v>
      </c>
      <c r="M15" s="4" t="s">
        <v>68</v>
      </c>
      <c r="N15" s="4" t="s">
        <v>67</v>
      </c>
      <c r="O15" s="4" t="s">
        <v>68</v>
      </c>
      <c r="P15" s="4" t="s">
        <v>241</v>
      </c>
      <c r="Q15" s="4" t="s">
        <v>70</v>
      </c>
      <c r="R15" s="4" t="s">
        <v>71</v>
      </c>
      <c r="S15" s="4" t="s">
        <v>67</v>
      </c>
      <c r="T15" s="3" t="s">
        <v>65</v>
      </c>
      <c r="U15" s="3">
        <v>63.6</v>
      </c>
      <c r="V15" s="3">
        <v>63</v>
      </c>
      <c r="W15" s="4" t="s">
        <v>242</v>
      </c>
      <c r="X15" s="4" t="s">
        <v>73</v>
      </c>
      <c r="Y15" s="4" t="s">
        <v>243</v>
      </c>
      <c r="Z15" s="22">
        <v>1.401</v>
      </c>
      <c r="AA15" s="3">
        <v>5.5</v>
      </c>
      <c r="AB15" s="3" t="s">
        <v>65</v>
      </c>
      <c r="AC15" s="4" t="s">
        <v>71</v>
      </c>
      <c r="AD15" s="4" t="s">
        <v>136</v>
      </c>
      <c r="AE15" s="4" t="s">
        <v>75</v>
      </c>
      <c r="AF15" s="4" t="s">
        <v>75</v>
      </c>
      <c r="AG15" s="4" t="s">
        <v>182</v>
      </c>
      <c r="AH15" s="4" t="s">
        <v>75</v>
      </c>
      <c r="AI15" s="4" t="s">
        <v>71</v>
      </c>
      <c r="AJ15" s="4" t="s">
        <v>76</v>
      </c>
      <c r="AK15" s="5" t="s">
        <v>244</v>
      </c>
      <c r="AL15" s="3" t="s">
        <v>65</v>
      </c>
      <c r="AM15" s="3" t="s">
        <v>65</v>
      </c>
      <c r="AN15" s="3" t="s">
        <v>65</v>
      </c>
      <c r="AO15" s="5" t="s">
        <v>245</v>
      </c>
      <c r="AP15" s="5" t="s">
        <v>246</v>
      </c>
      <c r="AQ15" s="5" t="s">
        <v>247</v>
      </c>
      <c r="AR15" s="5" t="s">
        <v>248</v>
      </c>
      <c r="AS15" s="5" t="s">
        <v>249</v>
      </c>
      <c r="AT15" s="5" t="s">
        <v>250</v>
      </c>
      <c r="AU15" s="3" t="s">
        <v>65</v>
      </c>
      <c r="AV15" s="5" t="s">
        <v>251</v>
      </c>
      <c r="AW15" s="5" t="s">
        <v>252</v>
      </c>
      <c r="AX15" s="3" t="s">
        <v>65</v>
      </c>
      <c r="AY15" s="4" t="s">
        <v>253</v>
      </c>
      <c r="AZ15" s="3" t="s">
        <v>65</v>
      </c>
      <c r="BA15" s="2" t="s">
        <v>254</v>
      </c>
      <c r="BB15" s="2">
        <f t="shared" si="0"/>
        <v>22500</v>
      </c>
      <c r="BC15" s="15">
        <v>837720</v>
      </c>
    </row>
    <row r="16" ht="16.8" spans="1:55">
      <c r="A16" s="2" t="s">
        <v>255</v>
      </c>
      <c r="B16" s="3" t="s">
        <v>256</v>
      </c>
      <c r="C16" s="3" t="s">
        <v>65</v>
      </c>
      <c r="D16" s="5" t="s">
        <v>60</v>
      </c>
      <c r="E16" s="4" t="s">
        <v>61</v>
      </c>
      <c r="F16" s="15">
        <v>1.51</v>
      </c>
      <c r="G16" s="14" t="s">
        <v>257</v>
      </c>
      <c r="H16" s="3">
        <v>-69.1</v>
      </c>
      <c r="I16" s="4" t="s">
        <v>149</v>
      </c>
      <c r="J16" s="4" t="s">
        <v>240</v>
      </c>
      <c r="K16" s="5"/>
      <c r="L16" s="3" t="s">
        <v>65</v>
      </c>
      <c r="M16" s="4" t="s">
        <v>258</v>
      </c>
      <c r="N16" s="4" t="s">
        <v>67</v>
      </c>
      <c r="O16" s="4" t="s">
        <v>67</v>
      </c>
      <c r="P16" s="4" t="s">
        <v>241</v>
      </c>
      <c r="Q16" s="4" t="s">
        <v>70</v>
      </c>
      <c r="R16" s="4" t="s">
        <v>71</v>
      </c>
      <c r="S16" s="4" t="s">
        <v>67</v>
      </c>
      <c r="T16" s="3" t="s">
        <v>65</v>
      </c>
      <c r="U16" s="3">
        <v>64.9</v>
      </c>
      <c r="V16" s="3">
        <v>57</v>
      </c>
      <c r="W16" s="4" t="s">
        <v>259</v>
      </c>
      <c r="X16" s="4" t="s">
        <v>180</v>
      </c>
      <c r="Y16" s="4" t="s">
        <v>260</v>
      </c>
      <c r="Z16" s="22">
        <v>1.38</v>
      </c>
      <c r="AA16" s="3">
        <v>6.4</v>
      </c>
      <c r="AB16" s="4" t="s">
        <v>76</v>
      </c>
      <c r="AC16" s="4" t="s">
        <v>71</v>
      </c>
      <c r="AD16" s="4" t="s">
        <v>136</v>
      </c>
      <c r="AE16" s="4" t="s">
        <v>75</v>
      </c>
      <c r="AF16" s="4" t="s">
        <v>75</v>
      </c>
      <c r="AG16" s="4" t="s">
        <v>75</v>
      </c>
      <c r="AH16" s="4" t="s">
        <v>75</v>
      </c>
      <c r="AI16" s="4" t="s">
        <v>261</v>
      </c>
      <c r="AJ16" s="4" t="s">
        <v>76</v>
      </c>
      <c r="AK16" s="5" t="s">
        <v>262</v>
      </c>
      <c r="AL16" s="3" t="s">
        <v>65</v>
      </c>
      <c r="AM16" s="3" t="s">
        <v>65</v>
      </c>
      <c r="AN16" s="3" t="s">
        <v>65</v>
      </c>
      <c r="AO16" s="5" t="s">
        <v>263</v>
      </c>
      <c r="AP16" s="5" t="s">
        <v>264</v>
      </c>
      <c r="AQ16" s="5" t="s">
        <v>265</v>
      </c>
      <c r="AR16" s="5" t="s">
        <v>266</v>
      </c>
      <c r="AS16" s="5" t="s">
        <v>267</v>
      </c>
      <c r="AT16" s="5" t="s">
        <v>268</v>
      </c>
      <c r="AU16" s="3" t="s">
        <v>65</v>
      </c>
      <c r="AV16" s="5" t="s">
        <v>269</v>
      </c>
      <c r="AW16" s="5" t="s">
        <v>270</v>
      </c>
      <c r="AX16" s="3" t="s">
        <v>65</v>
      </c>
      <c r="AY16" s="4" t="s">
        <v>271</v>
      </c>
      <c r="AZ16" s="4" t="s">
        <v>272</v>
      </c>
      <c r="BA16" s="2" t="s">
        <v>254</v>
      </c>
      <c r="BB16" s="2">
        <f t="shared" si="0"/>
        <v>18875</v>
      </c>
      <c r="BC16" s="15">
        <v>526386</v>
      </c>
    </row>
    <row r="17" ht="16.8" spans="1:55">
      <c r="A17" s="2" t="s">
        <v>273</v>
      </c>
      <c r="B17" s="3" t="s">
        <v>274</v>
      </c>
      <c r="C17" s="4" t="s">
        <v>90</v>
      </c>
      <c r="D17" s="5" t="s">
        <v>60</v>
      </c>
      <c r="E17" s="4" t="s">
        <v>61</v>
      </c>
      <c r="F17" s="15">
        <v>1.5</v>
      </c>
      <c r="G17" s="14" t="s">
        <v>275</v>
      </c>
      <c r="H17" s="3">
        <v>-53.6</v>
      </c>
      <c r="I17" s="4" t="s">
        <v>149</v>
      </c>
      <c r="J17" s="4" t="s">
        <v>64</v>
      </c>
      <c r="K17" s="5"/>
      <c r="L17" s="3" t="s">
        <v>65</v>
      </c>
      <c r="M17" s="4" t="s">
        <v>197</v>
      </c>
      <c r="N17" s="4" t="s">
        <v>67</v>
      </c>
      <c r="O17" s="4" t="s">
        <v>67</v>
      </c>
      <c r="P17" s="4" t="s">
        <v>276</v>
      </c>
      <c r="Q17" s="4" t="s">
        <v>70</v>
      </c>
      <c r="R17" s="3" t="s">
        <v>65</v>
      </c>
      <c r="S17" s="4" t="s">
        <v>67</v>
      </c>
      <c r="T17" s="3" t="s">
        <v>65</v>
      </c>
      <c r="U17" s="3">
        <v>61.7</v>
      </c>
      <c r="V17" s="3">
        <v>61</v>
      </c>
      <c r="W17" s="4" t="s">
        <v>259</v>
      </c>
      <c r="X17" s="4" t="s">
        <v>73</v>
      </c>
      <c r="Y17" s="4" t="s">
        <v>277</v>
      </c>
      <c r="Z17" s="22">
        <v>1.451</v>
      </c>
      <c r="AA17" s="3">
        <v>4.3</v>
      </c>
      <c r="AB17" s="4" t="s">
        <v>76</v>
      </c>
      <c r="AC17" s="3" t="s">
        <v>65</v>
      </c>
      <c r="AD17" s="3" t="s">
        <v>65</v>
      </c>
      <c r="AE17" s="4" t="s">
        <v>75</v>
      </c>
      <c r="AF17" s="4" t="s">
        <v>75</v>
      </c>
      <c r="AG17" s="4" t="s">
        <v>75</v>
      </c>
      <c r="AH17" s="4" t="s">
        <v>75</v>
      </c>
      <c r="AI17" s="4" t="s">
        <v>71</v>
      </c>
      <c r="AJ17" s="4" t="s">
        <v>76</v>
      </c>
      <c r="AK17" s="5" t="s">
        <v>278</v>
      </c>
      <c r="AL17" s="3" t="s">
        <v>65</v>
      </c>
      <c r="AM17" s="3" t="s">
        <v>65</v>
      </c>
      <c r="AN17" s="3" t="s">
        <v>65</v>
      </c>
      <c r="AO17" s="5" t="s">
        <v>279</v>
      </c>
      <c r="AP17" s="5" t="s">
        <v>280</v>
      </c>
      <c r="AQ17" s="5" t="s">
        <v>281</v>
      </c>
      <c r="AR17" s="5" t="s">
        <v>282</v>
      </c>
      <c r="AS17" s="5" t="s">
        <v>283</v>
      </c>
      <c r="AT17" s="5" t="s">
        <v>284</v>
      </c>
      <c r="AU17" s="3" t="s">
        <v>65</v>
      </c>
      <c r="AV17" s="5" t="s">
        <v>285</v>
      </c>
      <c r="AW17" s="5" t="s">
        <v>286</v>
      </c>
      <c r="AX17" s="3" t="s">
        <v>65</v>
      </c>
      <c r="AY17" s="4" t="s">
        <v>287</v>
      </c>
      <c r="AZ17" s="4" t="s">
        <v>272</v>
      </c>
      <c r="BA17" s="2" t="s">
        <v>288</v>
      </c>
      <c r="BB17" s="2">
        <f t="shared" si="0"/>
        <v>17400</v>
      </c>
      <c r="BC17" s="15">
        <v>729450</v>
      </c>
    </row>
    <row r="18" ht="16.8" spans="1:55">
      <c r="A18" s="2" t="s">
        <v>289</v>
      </c>
      <c r="B18" s="3" t="s">
        <v>290</v>
      </c>
      <c r="C18" s="4" t="s">
        <v>90</v>
      </c>
      <c r="D18" s="5" t="s">
        <v>60</v>
      </c>
      <c r="E18" s="4" t="s">
        <v>61</v>
      </c>
      <c r="F18" s="15">
        <v>1.51</v>
      </c>
      <c r="G18" s="14" t="s">
        <v>291</v>
      </c>
      <c r="H18" s="3">
        <v>-45.4</v>
      </c>
      <c r="I18" s="4" t="s">
        <v>149</v>
      </c>
      <c r="J18" s="4" t="s">
        <v>64</v>
      </c>
      <c r="K18" s="5"/>
      <c r="L18" s="3" t="s">
        <v>65</v>
      </c>
      <c r="M18" s="4" t="s">
        <v>66</v>
      </c>
      <c r="N18" s="4" t="s">
        <v>67</v>
      </c>
      <c r="O18" s="4" t="s">
        <v>67</v>
      </c>
      <c r="P18" s="4" t="s">
        <v>92</v>
      </c>
      <c r="Q18" s="3" t="s">
        <v>65</v>
      </c>
      <c r="R18" s="3" t="s">
        <v>65</v>
      </c>
      <c r="S18" s="4" t="s">
        <v>67</v>
      </c>
      <c r="T18" s="3" t="s">
        <v>65</v>
      </c>
      <c r="U18" s="3">
        <v>63</v>
      </c>
      <c r="V18" s="3">
        <v>63</v>
      </c>
      <c r="W18" s="4" t="s">
        <v>72</v>
      </c>
      <c r="X18" s="4" t="s">
        <v>180</v>
      </c>
      <c r="Y18" s="4" t="s">
        <v>292</v>
      </c>
      <c r="Z18" s="22">
        <v>1.442</v>
      </c>
      <c r="AA18" s="3">
        <v>5</v>
      </c>
      <c r="AB18" s="4" t="s">
        <v>76</v>
      </c>
      <c r="AC18" s="4" t="s">
        <v>71</v>
      </c>
      <c r="AD18" s="4" t="s">
        <v>136</v>
      </c>
      <c r="AE18" s="4" t="s">
        <v>75</v>
      </c>
      <c r="AF18" s="4" t="s">
        <v>75</v>
      </c>
      <c r="AG18" s="4" t="s">
        <v>75</v>
      </c>
      <c r="AH18" s="4" t="s">
        <v>75</v>
      </c>
      <c r="AI18" s="3" t="s">
        <v>65</v>
      </c>
      <c r="AJ18" s="4" t="s">
        <v>76</v>
      </c>
      <c r="AK18" s="5" t="s">
        <v>293</v>
      </c>
      <c r="AL18" s="3" t="s">
        <v>65</v>
      </c>
      <c r="AM18" s="3" t="s">
        <v>65</v>
      </c>
      <c r="AN18" s="3" t="s">
        <v>65</v>
      </c>
      <c r="AO18" s="5" t="s">
        <v>294</v>
      </c>
      <c r="AP18" s="5" t="s">
        <v>295</v>
      </c>
      <c r="AQ18" s="5" t="s">
        <v>296</v>
      </c>
      <c r="AR18" s="5" t="s">
        <v>297</v>
      </c>
      <c r="AS18" s="5" t="s">
        <v>298</v>
      </c>
      <c r="AT18" s="3" t="s">
        <v>65</v>
      </c>
      <c r="AU18" s="3" t="s">
        <v>65</v>
      </c>
      <c r="AV18" s="5" t="s">
        <v>299</v>
      </c>
      <c r="AW18" s="5" t="s">
        <v>300</v>
      </c>
      <c r="AX18" s="3" t="s">
        <v>65</v>
      </c>
      <c r="AY18" s="4" t="s">
        <v>116</v>
      </c>
      <c r="AZ18" s="4" t="s">
        <v>301</v>
      </c>
      <c r="BA18" s="2" t="s">
        <v>288</v>
      </c>
      <c r="BB18" s="2">
        <f t="shared" si="0"/>
        <v>17516</v>
      </c>
      <c r="BC18" s="15">
        <v>864173</v>
      </c>
    </row>
    <row r="19" ht="16.8" spans="1:55">
      <c r="A19" s="2" t="s">
        <v>302</v>
      </c>
      <c r="B19" s="3" t="s">
        <v>303</v>
      </c>
      <c r="C19" s="4" t="s">
        <v>177</v>
      </c>
      <c r="D19" s="5" t="s">
        <v>60</v>
      </c>
      <c r="E19" s="4" t="s">
        <v>61</v>
      </c>
      <c r="F19" s="15">
        <v>1.52</v>
      </c>
      <c r="G19" s="14" t="s">
        <v>304</v>
      </c>
      <c r="H19" s="3">
        <v>-40.7</v>
      </c>
      <c r="I19" s="4" t="s">
        <v>149</v>
      </c>
      <c r="J19" s="4" t="s">
        <v>64</v>
      </c>
      <c r="K19" s="5"/>
      <c r="L19" s="3" t="s">
        <v>65</v>
      </c>
      <c r="M19" s="4" t="s">
        <v>197</v>
      </c>
      <c r="N19" s="4" t="s">
        <v>67</v>
      </c>
      <c r="O19" s="4" t="s">
        <v>68</v>
      </c>
      <c r="P19" s="4" t="s">
        <v>92</v>
      </c>
      <c r="Q19" s="3" t="s">
        <v>65</v>
      </c>
      <c r="R19" s="3" t="s">
        <v>65</v>
      </c>
      <c r="S19" s="4" t="s">
        <v>67</v>
      </c>
      <c r="T19" s="3" t="s">
        <v>65</v>
      </c>
      <c r="U19" s="3">
        <v>57.8</v>
      </c>
      <c r="V19" s="3">
        <v>64</v>
      </c>
      <c r="W19" s="4" t="s">
        <v>242</v>
      </c>
      <c r="X19" s="4" t="s">
        <v>180</v>
      </c>
      <c r="Y19" s="4" t="s">
        <v>305</v>
      </c>
      <c r="Z19" s="22">
        <v>1.557</v>
      </c>
      <c r="AA19" s="3">
        <v>3.8</v>
      </c>
      <c r="AB19" s="4" t="s">
        <v>76</v>
      </c>
      <c r="AC19" s="3" t="s">
        <v>65</v>
      </c>
      <c r="AD19" s="3" t="s">
        <v>65</v>
      </c>
      <c r="AE19" s="4" t="s">
        <v>107</v>
      </c>
      <c r="AF19" s="4" t="s">
        <v>75</v>
      </c>
      <c r="AG19" s="4" t="s">
        <v>75</v>
      </c>
      <c r="AH19" s="4" t="s">
        <v>75</v>
      </c>
      <c r="AI19" s="4" t="s">
        <v>261</v>
      </c>
      <c r="AJ19" s="4" t="s">
        <v>76</v>
      </c>
      <c r="AK19" s="5" t="s">
        <v>306</v>
      </c>
      <c r="AL19" s="3" t="s">
        <v>65</v>
      </c>
      <c r="AM19" s="3" t="s">
        <v>65</v>
      </c>
      <c r="AN19" s="3" t="s">
        <v>65</v>
      </c>
      <c r="AO19" s="5" t="s">
        <v>307</v>
      </c>
      <c r="AP19" s="5" t="s">
        <v>308</v>
      </c>
      <c r="AQ19" s="5" t="s">
        <v>309</v>
      </c>
      <c r="AR19" s="5" t="s">
        <v>310</v>
      </c>
      <c r="AS19" s="5" t="s">
        <v>311</v>
      </c>
      <c r="AT19" s="3" t="s">
        <v>65</v>
      </c>
      <c r="AU19" s="3" t="s">
        <v>65</v>
      </c>
      <c r="AV19" s="5" t="s">
        <v>312</v>
      </c>
      <c r="AW19" s="5" t="s">
        <v>313</v>
      </c>
      <c r="AX19" s="3" t="s">
        <v>65</v>
      </c>
      <c r="AY19" s="4" t="s">
        <v>314</v>
      </c>
      <c r="AZ19" s="3" t="s">
        <v>65</v>
      </c>
      <c r="BA19" s="2" t="s">
        <v>288</v>
      </c>
      <c r="BB19" s="2">
        <f t="shared" si="0"/>
        <v>17632</v>
      </c>
      <c r="BC19" s="15">
        <v>944376</v>
      </c>
    </row>
    <row r="20" ht="16.8" spans="1:55">
      <c r="A20" s="2" t="s">
        <v>315</v>
      </c>
      <c r="B20" s="3" t="s">
        <v>316</v>
      </c>
      <c r="C20" s="3" t="s">
        <v>65</v>
      </c>
      <c r="D20" s="5" t="s">
        <v>60</v>
      </c>
      <c r="E20" s="4" t="s">
        <v>61</v>
      </c>
      <c r="F20" s="15">
        <v>1.52</v>
      </c>
      <c r="G20" s="14" t="s">
        <v>317</v>
      </c>
      <c r="H20" s="3">
        <v>-54.9</v>
      </c>
      <c r="I20" s="4" t="s">
        <v>149</v>
      </c>
      <c r="J20" s="4" t="s">
        <v>64</v>
      </c>
      <c r="K20" s="5"/>
      <c r="L20" s="3" t="s">
        <v>65</v>
      </c>
      <c r="M20" s="4" t="s">
        <v>66</v>
      </c>
      <c r="N20" s="4" t="s">
        <v>67</v>
      </c>
      <c r="O20" s="4" t="s">
        <v>67</v>
      </c>
      <c r="P20" s="4" t="s">
        <v>276</v>
      </c>
      <c r="Q20" s="4" t="s">
        <v>70</v>
      </c>
      <c r="R20" s="3" t="s">
        <v>65</v>
      </c>
      <c r="S20" s="4" t="s">
        <v>67</v>
      </c>
      <c r="T20" s="3" t="s">
        <v>65</v>
      </c>
      <c r="U20" s="3">
        <v>62.6</v>
      </c>
      <c r="V20" s="3">
        <v>64</v>
      </c>
      <c r="W20" s="4" t="s">
        <v>318</v>
      </c>
      <c r="X20" s="4" t="s">
        <v>319</v>
      </c>
      <c r="Y20" s="4" t="s">
        <v>320</v>
      </c>
      <c r="Z20" s="22">
        <v>1.4</v>
      </c>
      <c r="AA20" s="3">
        <v>5.1</v>
      </c>
      <c r="AB20" s="4" t="s">
        <v>76</v>
      </c>
      <c r="AC20" s="3" t="s">
        <v>65</v>
      </c>
      <c r="AD20" s="3" t="s">
        <v>65</v>
      </c>
      <c r="AE20" s="4" t="s">
        <v>75</v>
      </c>
      <c r="AF20" s="4" t="s">
        <v>75</v>
      </c>
      <c r="AG20" s="4" t="s">
        <v>75</v>
      </c>
      <c r="AH20" s="4" t="s">
        <v>75</v>
      </c>
      <c r="AI20" s="4" t="s">
        <v>321</v>
      </c>
      <c r="AJ20" s="4" t="s">
        <v>76</v>
      </c>
      <c r="AK20" s="5" t="s">
        <v>322</v>
      </c>
      <c r="AL20" s="3" t="s">
        <v>65</v>
      </c>
      <c r="AM20" s="3" t="s">
        <v>65</v>
      </c>
      <c r="AN20" s="3" t="s">
        <v>65</v>
      </c>
      <c r="AO20" s="5" t="s">
        <v>323</v>
      </c>
      <c r="AP20" s="5" t="s">
        <v>324</v>
      </c>
      <c r="AQ20" s="5" t="s">
        <v>325</v>
      </c>
      <c r="AR20" s="5" t="s">
        <v>326</v>
      </c>
      <c r="AS20" s="5" t="s">
        <v>327</v>
      </c>
      <c r="AT20" s="5" t="s">
        <v>328</v>
      </c>
      <c r="AU20" s="3" t="s">
        <v>65</v>
      </c>
      <c r="AV20" s="5" t="s">
        <v>329</v>
      </c>
      <c r="AW20" s="5" t="s">
        <v>330</v>
      </c>
      <c r="AX20" s="3" t="s">
        <v>65</v>
      </c>
      <c r="AY20" s="4" t="s">
        <v>331</v>
      </c>
      <c r="AZ20" s="3" t="s">
        <v>65</v>
      </c>
      <c r="BA20" s="2" t="s">
        <v>288</v>
      </c>
      <c r="BB20" s="2">
        <f t="shared" si="0"/>
        <v>17632</v>
      </c>
      <c r="BC20" s="15">
        <v>718808</v>
      </c>
    </row>
    <row r="21" ht="15.75" customHeight="1" spans="1:55">
      <c r="A21" s="2" t="s">
        <v>332</v>
      </c>
      <c r="B21" s="3" t="s">
        <v>333</v>
      </c>
      <c r="C21" s="3" t="s">
        <v>65</v>
      </c>
      <c r="D21" s="5" t="s">
        <v>60</v>
      </c>
      <c r="E21" s="4" t="s">
        <v>61</v>
      </c>
      <c r="F21" s="15">
        <v>1.51</v>
      </c>
      <c r="G21" s="14" t="s">
        <v>334</v>
      </c>
      <c r="H21" s="3">
        <v>-46.6</v>
      </c>
      <c r="I21" s="4" t="s">
        <v>335</v>
      </c>
      <c r="J21" s="4" t="s">
        <v>64</v>
      </c>
      <c r="K21" s="5"/>
      <c r="L21" s="3" t="s">
        <v>65</v>
      </c>
      <c r="M21" s="4" t="s">
        <v>66</v>
      </c>
      <c r="N21" s="4" t="s">
        <v>67</v>
      </c>
      <c r="O21" s="4" t="s">
        <v>68</v>
      </c>
      <c r="P21" s="4" t="s">
        <v>92</v>
      </c>
      <c r="Q21" s="3" t="s">
        <v>65</v>
      </c>
      <c r="R21" s="3" t="s">
        <v>65</v>
      </c>
      <c r="S21" s="4" t="s">
        <v>67</v>
      </c>
      <c r="T21" s="4" t="s">
        <v>336</v>
      </c>
      <c r="U21" s="3">
        <v>61.9</v>
      </c>
      <c r="V21" s="3">
        <v>64</v>
      </c>
      <c r="W21" s="4" t="s">
        <v>259</v>
      </c>
      <c r="X21" s="4" t="s">
        <v>180</v>
      </c>
      <c r="Y21" s="4" t="s">
        <v>337</v>
      </c>
      <c r="Z21" s="22">
        <v>1.402</v>
      </c>
      <c r="AA21" s="3">
        <v>5.3</v>
      </c>
      <c r="AB21" s="4" t="s">
        <v>338</v>
      </c>
      <c r="AC21" s="3" t="s">
        <v>65</v>
      </c>
      <c r="AD21" s="3" t="s">
        <v>65</v>
      </c>
      <c r="AE21" s="4" t="s">
        <v>75</v>
      </c>
      <c r="AF21" s="4" t="s">
        <v>75</v>
      </c>
      <c r="AG21" s="4" t="s">
        <v>107</v>
      </c>
      <c r="AH21" s="4" t="s">
        <v>75</v>
      </c>
      <c r="AI21" s="4" t="s">
        <v>261</v>
      </c>
      <c r="AJ21" s="4" t="s">
        <v>76</v>
      </c>
      <c r="AK21" s="5" t="s">
        <v>339</v>
      </c>
      <c r="AL21" s="3" t="s">
        <v>65</v>
      </c>
      <c r="AM21" s="3" t="s">
        <v>65</v>
      </c>
      <c r="AN21" s="3" t="s">
        <v>65</v>
      </c>
      <c r="AO21" s="5" t="s">
        <v>340</v>
      </c>
      <c r="AP21" s="5" t="s">
        <v>341</v>
      </c>
      <c r="AQ21" s="5" t="s">
        <v>342</v>
      </c>
      <c r="AR21" s="5" t="s">
        <v>343</v>
      </c>
      <c r="AS21" s="5" t="s">
        <v>344</v>
      </c>
      <c r="AT21" s="3" t="s">
        <v>65</v>
      </c>
      <c r="AU21" s="3" t="s">
        <v>65</v>
      </c>
      <c r="AV21" s="5" t="s">
        <v>345</v>
      </c>
      <c r="AW21" s="5" t="s">
        <v>346</v>
      </c>
      <c r="AX21" s="3" t="s">
        <v>65</v>
      </c>
      <c r="AY21" s="4" t="s">
        <v>347</v>
      </c>
      <c r="AZ21" s="4" t="s">
        <v>348</v>
      </c>
      <c r="BA21" s="2" t="s">
        <v>161</v>
      </c>
      <c r="BB21" s="2">
        <f t="shared" si="0"/>
        <v>16308</v>
      </c>
      <c r="BC21" s="15">
        <v>786861</v>
      </c>
    </row>
    <row r="22" ht="15.75" customHeight="1" spans="1:55">
      <c r="A22" s="2" t="s">
        <v>349</v>
      </c>
      <c r="B22" s="3" t="s">
        <v>350</v>
      </c>
      <c r="C22" s="3" t="s">
        <v>65</v>
      </c>
      <c r="D22" s="5" t="s">
        <v>60</v>
      </c>
      <c r="E22" s="4" t="s">
        <v>61</v>
      </c>
      <c r="F22" s="15">
        <v>1.52</v>
      </c>
      <c r="G22" s="14" t="s">
        <v>351</v>
      </c>
      <c r="H22" s="3">
        <v>-50.6</v>
      </c>
      <c r="I22" s="4" t="s">
        <v>149</v>
      </c>
      <c r="J22" s="4" t="s">
        <v>64</v>
      </c>
      <c r="K22" s="5"/>
      <c r="L22" s="3" t="s">
        <v>65</v>
      </c>
      <c r="M22" s="4" t="s">
        <v>68</v>
      </c>
      <c r="N22" s="4" t="s">
        <v>67</v>
      </c>
      <c r="O22" s="4" t="s">
        <v>67</v>
      </c>
      <c r="P22" s="4" t="s">
        <v>92</v>
      </c>
      <c r="Q22" s="3" t="s">
        <v>65</v>
      </c>
      <c r="R22" s="3" t="s">
        <v>65</v>
      </c>
      <c r="S22" s="4" t="s">
        <v>67</v>
      </c>
      <c r="T22" s="3" t="s">
        <v>65</v>
      </c>
      <c r="U22" s="3">
        <v>63.9</v>
      </c>
      <c r="V22" s="3">
        <v>60</v>
      </c>
      <c r="W22" s="4" t="s">
        <v>72</v>
      </c>
      <c r="X22" s="4" t="s">
        <v>352</v>
      </c>
      <c r="Y22" s="4" t="s">
        <v>353</v>
      </c>
      <c r="Z22" s="22">
        <v>1.393</v>
      </c>
      <c r="AA22" s="3">
        <v>5</v>
      </c>
      <c r="AB22" s="3" t="s">
        <v>65</v>
      </c>
      <c r="AC22" s="4" t="s">
        <v>354</v>
      </c>
      <c r="AD22" s="4" t="s">
        <v>136</v>
      </c>
      <c r="AE22" s="4" t="s">
        <v>75</v>
      </c>
      <c r="AF22" s="4" t="s">
        <v>75</v>
      </c>
      <c r="AG22" s="4" t="s">
        <v>107</v>
      </c>
      <c r="AH22" s="4" t="s">
        <v>75</v>
      </c>
      <c r="AI22" s="3" t="s">
        <v>65</v>
      </c>
      <c r="AJ22" s="4" t="s">
        <v>76</v>
      </c>
      <c r="AK22" s="5" t="s">
        <v>355</v>
      </c>
      <c r="AL22" s="3" t="s">
        <v>65</v>
      </c>
      <c r="AM22" s="3" t="s">
        <v>65</v>
      </c>
      <c r="AN22" s="3" t="s">
        <v>65</v>
      </c>
      <c r="AO22" s="5" t="s">
        <v>356</v>
      </c>
      <c r="AP22" s="5" t="s">
        <v>357</v>
      </c>
      <c r="AQ22" s="5" t="s">
        <v>358</v>
      </c>
      <c r="AR22" s="5" t="s">
        <v>359</v>
      </c>
      <c r="AS22" s="5" t="s">
        <v>360</v>
      </c>
      <c r="AT22" s="3" t="s">
        <v>65</v>
      </c>
      <c r="AU22" s="3" t="s">
        <v>65</v>
      </c>
      <c r="AV22" s="5" t="s">
        <v>361</v>
      </c>
      <c r="AW22" s="5" t="s">
        <v>362</v>
      </c>
      <c r="AX22" s="3" t="s">
        <v>65</v>
      </c>
      <c r="AY22" s="4" t="s">
        <v>363</v>
      </c>
      <c r="AZ22" s="4" t="s">
        <v>364</v>
      </c>
      <c r="BA22" s="2" t="s">
        <v>288</v>
      </c>
      <c r="BB22" s="2">
        <f t="shared" si="0"/>
        <v>17632</v>
      </c>
      <c r="BC22" s="15">
        <v>787208</v>
      </c>
    </row>
    <row r="23" ht="15.75" customHeight="1" spans="1:55">
      <c r="A23" s="2" t="s">
        <v>365</v>
      </c>
      <c r="B23" s="3" t="s">
        <v>366</v>
      </c>
      <c r="C23" s="3" t="s">
        <v>65</v>
      </c>
      <c r="D23" s="5" t="s">
        <v>60</v>
      </c>
      <c r="E23" s="4" t="s">
        <v>61</v>
      </c>
      <c r="F23" s="15">
        <v>1.61</v>
      </c>
      <c r="G23" s="14" t="s">
        <v>367</v>
      </c>
      <c r="H23" s="3">
        <v>-40.5</v>
      </c>
      <c r="I23" s="4" t="s">
        <v>149</v>
      </c>
      <c r="J23" s="4" t="s">
        <v>105</v>
      </c>
      <c r="K23" s="5"/>
      <c r="L23" s="3" t="s">
        <v>65</v>
      </c>
      <c r="M23" s="4" t="s">
        <v>197</v>
      </c>
      <c r="N23" s="4" t="s">
        <v>67</v>
      </c>
      <c r="O23" s="4" t="s">
        <v>67</v>
      </c>
      <c r="P23" s="4" t="s">
        <v>92</v>
      </c>
      <c r="Q23" s="3" t="s">
        <v>65</v>
      </c>
      <c r="R23" s="3" t="s">
        <v>65</v>
      </c>
      <c r="S23" s="4" t="s">
        <v>67</v>
      </c>
      <c r="T23" s="3" t="s">
        <v>65</v>
      </c>
      <c r="U23" s="3">
        <v>60.5</v>
      </c>
      <c r="V23" s="3">
        <v>62</v>
      </c>
      <c r="W23" s="4" t="s">
        <v>259</v>
      </c>
      <c r="X23" s="4" t="s">
        <v>180</v>
      </c>
      <c r="Y23" s="4" t="s">
        <v>368</v>
      </c>
      <c r="Z23" s="22">
        <v>1.42</v>
      </c>
      <c r="AA23" s="3">
        <v>4.3</v>
      </c>
      <c r="AB23" s="3" t="s">
        <v>65</v>
      </c>
      <c r="AC23" s="4" t="s">
        <v>354</v>
      </c>
      <c r="AD23" s="3" t="s">
        <v>65</v>
      </c>
      <c r="AE23" s="4" t="s">
        <v>75</v>
      </c>
      <c r="AF23" s="4" t="s">
        <v>75</v>
      </c>
      <c r="AG23" s="4" t="s">
        <v>75</v>
      </c>
      <c r="AH23" s="4" t="s">
        <v>75</v>
      </c>
      <c r="AI23" s="4" t="s">
        <v>261</v>
      </c>
      <c r="AJ23" s="4" t="s">
        <v>76</v>
      </c>
      <c r="AK23" s="5" t="s">
        <v>369</v>
      </c>
      <c r="AL23" s="3" t="s">
        <v>65</v>
      </c>
      <c r="AM23" s="3" t="s">
        <v>65</v>
      </c>
      <c r="AN23" s="3" t="s">
        <v>65</v>
      </c>
      <c r="AO23" s="5" t="s">
        <v>370</v>
      </c>
      <c r="AP23" s="5" t="s">
        <v>371</v>
      </c>
      <c r="AQ23" s="5" t="s">
        <v>372</v>
      </c>
      <c r="AR23" s="5" t="s">
        <v>373</v>
      </c>
      <c r="AS23" s="5" t="s">
        <v>374</v>
      </c>
      <c r="AT23" s="3" t="s">
        <v>65</v>
      </c>
      <c r="AU23" s="3" t="s">
        <v>65</v>
      </c>
      <c r="AV23" s="5" t="s">
        <v>375</v>
      </c>
      <c r="AW23" s="5" t="s">
        <v>376</v>
      </c>
      <c r="AX23" s="3" t="s">
        <v>65</v>
      </c>
      <c r="AY23" s="4" t="s">
        <v>377</v>
      </c>
      <c r="AZ23" s="4" t="s">
        <v>378</v>
      </c>
      <c r="BA23" s="2" t="s">
        <v>161</v>
      </c>
      <c r="BB23" s="2">
        <f t="shared" si="0"/>
        <v>17388</v>
      </c>
      <c r="BC23" s="15">
        <v>934927</v>
      </c>
    </row>
    <row r="24" ht="15.75" customHeight="1" spans="1:55">
      <c r="A24" s="2" t="s">
        <v>379</v>
      </c>
      <c r="B24" s="3" t="s">
        <v>380</v>
      </c>
      <c r="C24" s="3" t="s">
        <v>65</v>
      </c>
      <c r="D24" s="5" t="s">
        <v>60</v>
      </c>
      <c r="E24" s="4" t="s">
        <v>61</v>
      </c>
      <c r="F24" s="15">
        <v>1.54</v>
      </c>
      <c r="G24" s="14" t="s">
        <v>367</v>
      </c>
      <c r="H24" s="3">
        <v>-40.5</v>
      </c>
      <c r="I24" s="4" t="s">
        <v>149</v>
      </c>
      <c r="J24" s="4" t="s">
        <v>105</v>
      </c>
      <c r="K24" s="5"/>
      <c r="L24" s="3" t="s">
        <v>65</v>
      </c>
      <c r="M24" s="4" t="s">
        <v>197</v>
      </c>
      <c r="N24" s="4" t="s">
        <v>67</v>
      </c>
      <c r="O24" s="4" t="s">
        <v>67</v>
      </c>
      <c r="P24" s="4" t="s">
        <v>92</v>
      </c>
      <c r="Q24" s="3" t="s">
        <v>65</v>
      </c>
      <c r="R24" s="3" t="s">
        <v>65</v>
      </c>
      <c r="S24" s="4" t="s">
        <v>67</v>
      </c>
      <c r="T24" s="3" t="s">
        <v>65</v>
      </c>
      <c r="U24" s="3">
        <v>61.8</v>
      </c>
      <c r="V24" s="3">
        <v>61</v>
      </c>
      <c r="W24" s="4" t="s">
        <v>259</v>
      </c>
      <c r="X24" s="4" t="s">
        <v>319</v>
      </c>
      <c r="Y24" s="4" t="s">
        <v>381</v>
      </c>
      <c r="Z24" s="22">
        <v>1.451</v>
      </c>
      <c r="AA24" s="3">
        <v>4</v>
      </c>
      <c r="AB24" s="4" t="s">
        <v>76</v>
      </c>
      <c r="AC24" s="3" t="s">
        <v>65</v>
      </c>
      <c r="AD24" s="3" t="s">
        <v>65</v>
      </c>
      <c r="AE24" s="4" t="s">
        <v>75</v>
      </c>
      <c r="AF24" s="4" t="s">
        <v>75</v>
      </c>
      <c r="AG24" s="4" t="s">
        <v>75</v>
      </c>
      <c r="AH24" s="4" t="s">
        <v>75</v>
      </c>
      <c r="AI24" s="4" t="s">
        <v>321</v>
      </c>
      <c r="AJ24" s="4" t="s">
        <v>76</v>
      </c>
      <c r="AK24" s="5" t="s">
        <v>382</v>
      </c>
      <c r="AL24" s="3" t="s">
        <v>65</v>
      </c>
      <c r="AM24" s="3" t="s">
        <v>65</v>
      </c>
      <c r="AN24" s="3" t="s">
        <v>65</v>
      </c>
      <c r="AO24" s="5" t="s">
        <v>383</v>
      </c>
      <c r="AP24" s="5" t="s">
        <v>384</v>
      </c>
      <c r="AQ24" s="5" t="s">
        <v>385</v>
      </c>
      <c r="AR24" s="5" t="s">
        <v>386</v>
      </c>
      <c r="AS24" s="5" t="s">
        <v>387</v>
      </c>
      <c r="AT24" s="3" t="s">
        <v>65</v>
      </c>
      <c r="AU24" s="3" t="s">
        <v>65</v>
      </c>
      <c r="AV24" s="5" t="s">
        <v>388</v>
      </c>
      <c r="AW24" s="5" t="s">
        <v>389</v>
      </c>
      <c r="AX24" s="3" t="s">
        <v>65</v>
      </c>
      <c r="AY24" s="4" t="s">
        <v>390</v>
      </c>
      <c r="AZ24" s="4" t="s">
        <v>272</v>
      </c>
      <c r="BA24" s="2" t="s">
        <v>161</v>
      </c>
      <c r="BB24" s="2">
        <f t="shared" si="0"/>
        <v>16632</v>
      </c>
      <c r="BC24" s="15">
        <v>894278</v>
      </c>
    </row>
    <row r="25" ht="15.75" customHeight="1" spans="1:55">
      <c r="A25" s="2" t="s">
        <v>391</v>
      </c>
      <c r="B25" s="3" t="s">
        <v>392</v>
      </c>
      <c r="C25" s="3" t="s">
        <v>65</v>
      </c>
      <c r="D25" s="5" t="s">
        <v>60</v>
      </c>
      <c r="E25" s="4" t="s">
        <v>61</v>
      </c>
      <c r="F25" s="15">
        <v>1.5</v>
      </c>
      <c r="G25" s="14" t="s">
        <v>393</v>
      </c>
      <c r="H25" s="3">
        <v>-46.7</v>
      </c>
      <c r="I25" s="4" t="s">
        <v>149</v>
      </c>
      <c r="J25" s="4" t="s">
        <v>105</v>
      </c>
      <c r="K25" s="5"/>
      <c r="L25" s="3" t="s">
        <v>65</v>
      </c>
      <c r="M25" s="4" t="s">
        <v>66</v>
      </c>
      <c r="N25" s="4" t="s">
        <v>67</v>
      </c>
      <c r="O25" s="4" t="s">
        <v>68</v>
      </c>
      <c r="P25" s="4" t="s">
        <v>92</v>
      </c>
      <c r="Q25" s="3" t="s">
        <v>65</v>
      </c>
      <c r="R25" s="3" t="s">
        <v>65</v>
      </c>
      <c r="S25" s="4" t="s">
        <v>67</v>
      </c>
      <c r="T25" s="3" t="s">
        <v>65</v>
      </c>
      <c r="U25" s="3">
        <v>63.7</v>
      </c>
      <c r="V25" s="3">
        <v>64</v>
      </c>
      <c r="W25" s="4" t="s">
        <v>242</v>
      </c>
      <c r="X25" s="4" t="s">
        <v>180</v>
      </c>
      <c r="Y25" s="4" t="s">
        <v>394</v>
      </c>
      <c r="Z25" s="22">
        <v>1.443</v>
      </c>
      <c r="AA25" s="3">
        <v>5.1</v>
      </c>
      <c r="AB25" s="3" t="s">
        <v>65</v>
      </c>
      <c r="AC25" s="3" t="s">
        <v>65</v>
      </c>
      <c r="AD25" s="3" t="s">
        <v>65</v>
      </c>
      <c r="AE25" s="4" t="s">
        <v>75</v>
      </c>
      <c r="AF25" s="4" t="s">
        <v>75</v>
      </c>
      <c r="AG25" s="4" t="s">
        <v>182</v>
      </c>
      <c r="AH25" s="4" t="s">
        <v>75</v>
      </c>
      <c r="AI25" s="4" t="s">
        <v>261</v>
      </c>
      <c r="AJ25" s="4" t="s">
        <v>76</v>
      </c>
      <c r="AK25" s="5" t="s">
        <v>395</v>
      </c>
      <c r="AL25" s="3" t="s">
        <v>65</v>
      </c>
      <c r="AM25" s="3" t="s">
        <v>65</v>
      </c>
      <c r="AN25" s="3" t="s">
        <v>65</v>
      </c>
      <c r="AO25" s="5" t="s">
        <v>396</v>
      </c>
      <c r="AP25" s="5" t="s">
        <v>397</v>
      </c>
      <c r="AQ25" s="5" t="s">
        <v>398</v>
      </c>
      <c r="AR25" s="5" t="s">
        <v>399</v>
      </c>
      <c r="AS25" s="5" t="s">
        <v>400</v>
      </c>
      <c r="AT25" s="3" t="s">
        <v>65</v>
      </c>
      <c r="AU25" s="3" t="s">
        <v>65</v>
      </c>
      <c r="AV25" s="5" t="s">
        <v>401</v>
      </c>
      <c r="AW25" s="5" t="s">
        <v>402</v>
      </c>
      <c r="AX25" s="3" t="s">
        <v>65</v>
      </c>
      <c r="AY25" s="4" t="s">
        <v>174</v>
      </c>
      <c r="AZ25" s="3" t="s">
        <v>65</v>
      </c>
      <c r="BA25" s="2" t="s">
        <v>161</v>
      </c>
      <c r="BB25" s="2">
        <f t="shared" si="0"/>
        <v>16200</v>
      </c>
      <c r="BC25" s="15">
        <v>779550</v>
      </c>
    </row>
    <row r="26" ht="15.75" customHeight="1" spans="1:55">
      <c r="A26" s="2" t="s">
        <v>403</v>
      </c>
      <c r="B26" s="3" t="s">
        <v>404</v>
      </c>
      <c r="C26" s="3" t="s">
        <v>65</v>
      </c>
      <c r="D26" s="5" t="s">
        <v>60</v>
      </c>
      <c r="E26" s="4" t="s">
        <v>61</v>
      </c>
      <c r="F26" s="15">
        <v>1.51</v>
      </c>
      <c r="G26" s="14" t="s">
        <v>405</v>
      </c>
      <c r="H26" s="3">
        <v>-41.8</v>
      </c>
      <c r="I26" s="4" t="s">
        <v>335</v>
      </c>
      <c r="J26" s="4" t="s">
        <v>105</v>
      </c>
      <c r="K26" s="5"/>
      <c r="L26" s="3" t="s">
        <v>65</v>
      </c>
      <c r="M26" s="4" t="s">
        <v>66</v>
      </c>
      <c r="N26" s="4" t="s">
        <v>67</v>
      </c>
      <c r="O26" s="4" t="s">
        <v>67</v>
      </c>
      <c r="P26" s="4" t="s">
        <v>92</v>
      </c>
      <c r="Q26" s="3" t="s">
        <v>65</v>
      </c>
      <c r="R26" s="3" t="s">
        <v>65</v>
      </c>
      <c r="S26" s="4" t="s">
        <v>67</v>
      </c>
      <c r="T26" s="4" t="s">
        <v>336</v>
      </c>
      <c r="U26" s="3">
        <v>63.3</v>
      </c>
      <c r="V26" s="3">
        <v>65</v>
      </c>
      <c r="W26" s="4" t="s">
        <v>72</v>
      </c>
      <c r="X26" s="4" t="s">
        <v>319</v>
      </c>
      <c r="Y26" s="4" t="s">
        <v>406</v>
      </c>
      <c r="Z26" s="22">
        <v>1.442</v>
      </c>
      <c r="AA26" s="3">
        <v>5.3</v>
      </c>
      <c r="AB26" s="4" t="s">
        <v>407</v>
      </c>
      <c r="AC26" s="3" t="s">
        <v>65</v>
      </c>
      <c r="AD26" s="3" t="s">
        <v>65</v>
      </c>
      <c r="AE26" s="4" t="s">
        <v>75</v>
      </c>
      <c r="AF26" s="4" t="s">
        <v>75</v>
      </c>
      <c r="AG26" s="4" t="s">
        <v>75</v>
      </c>
      <c r="AH26" s="4" t="s">
        <v>75</v>
      </c>
      <c r="AI26" s="3" t="s">
        <v>65</v>
      </c>
      <c r="AJ26" s="4" t="s">
        <v>76</v>
      </c>
      <c r="AK26" s="5" t="s">
        <v>408</v>
      </c>
      <c r="AL26" s="3" t="s">
        <v>65</v>
      </c>
      <c r="AM26" s="3" t="s">
        <v>65</v>
      </c>
      <c r="AN26" s="3" t="s">
        <v>65</v>
      </c>
      <c r="AO26" s="5" t="s">
        <v>409</v>
      </c>
      <c r="AP26" s="5" t="s">
        <v>410</v>
      </c>
      <c r="AQ26" s="5" t="s">
        <v>411</v>
      </c>
      <c r="AR26" s="5" t="s">
        <v>412</v>
      </c>
      <c r="AS26" s="5" t="s">
        <v>413</v>
      </c>
      <c r="AT26" s="3" t="s">
        <v>65</v>
      </c>
      <c r="AU26" s="3" t="s">
        <v>65</v>
      </c>
      <c r="AV26" s="5" t="s">
        <v>414</v>
      </c>
      <c r="AW26" s="5" t="s">
        <v>415</v>
      </c>
      <c r="AX26" s="3" t="s">
        <v>65</v>
      </c>
      <c r="AY26" s="4" t="s">
        <v>416</v>
      </c>
      <c r="AZ26" s="3" t="s">
        <v>65</v>
      </c>
      <c r="BA26" s="2" t="s">
        <v>417</v>
      </c>
      <c r="BB26" s="2">
        <f t="shared" si="0"/>
        <v>15402</v>
      </c>
      <c r="BC26" s="15">
        <v>809511</v>
      </c>
    </row>
    <row r="27" ht="15.75" customHeight="1" spans="1:55">
      <c r="A27" s="2" t="s">
        <v>418</v>
      </c>
      <c r="B27" s="3" t="s">
        <v>419</v>
      </c>
      <c r="C27" s="3" t="s">
        <v>65</v>
      </c>
      <c r="D27" s="5" t="s">
        <v>60</v>
      </c>
      <c r="E27" s="4" t="s">
        <v>61</v>
      </c>
      <c r="F27" s="15">
        <v>1.51</v>
      </c>
      <c r="G27" s="14" t="s">
        <v>420</v>
      </c>
      <c r="H27" s="3">
        <v>-47.4</v>
      </c>
      <c r="I27" s="4" t="s">
        <v>149</v>
      </c>
      <c r="J27" s="4" t="s">
        <v>105</v>
      </c>
      <c r="K27" s="5"/>
      <c r="L27" s="3" t="s">
        <v>65</v>
      </c>
      <c r="M27" s="4" t="s">
        <v>68</v>
      </c>
      <c r="N27" s="4" t="s">
        <v>67</v>
      </c>
      <c r="O27" s="4" t="s">
        <v>67</v>
      </c>
      <c r="P27" s="4" t="s">
        <v>92</v>
      </c>
      <c r="Q27" s="3" t="s">
        <v>65</v>
      </c>
      <c r="R27" s="3" t="s">
        <v>65</v>
      </c>
      <c r="S27" s="4" t="s">
        <v>67</v>
      </c>
      <c r="T27" s="3" t="s">
        <v>65</v>
      </c>
      <c r="U27" s="3">
        <v>63.7</v>
      </c>
      <c r="V27" s="3">
        <v>65</v>
      </c>
      <c r="W27" s="4" t="s">
        <v>318</v>
      </c>
      <c r="X27" s="4" t="s">
        <v>319</v>
      </c>
      <c r="Y27" s="4" t="s">
        <v>421</v>
      </c>
      <c r="Z27" s="22">
        <v>1.39</v>
      </c>
      <c r="AA27" s="3">
        <v>5.3</v>
      </c>
      <c r="AB27" s="4" t="s">
        <v>76</v>
      </c>
      <c r="AC27" s="4" t="s">
        <v>354</v>
      </c>
      <c r="AD27" s="4" t="s">
        <v>136</v>
      </c>
      <c r="AE27" s="4" t="s">
        <v>75</v>
      </c>
      <c r="AF27" s="4" t="s">
        <v>75</v>
      </c>
      <c r="AG27" s="4" t="s">
        <v>182</v>
      </c>
      <c r="AH27" s="4" t="s">
        <v>75</v>
      </c>
      <c r="AI27" s="4" t="s">
        <v>321</v>
      </c>
      <c r="AJ27" s="4" t="s">
        <v>76</v>
      </c>
      <c r="AK27" s="5" t="s">
        <v>422</v>
      </c>
      <c r="AL27" s="3" t="s">
        <v>65</v>
      </c>
      <c r="AM27" s="3" t="s">
        <v>65</v>
      </c>
      <c r="AN27" s="3" t="s">
        <v>65</v>
      </c>
      <c r="AO27" s="5" t="s">
        <v>423</v>
      </c>
      <c r="AP27" s="5" t="s">
        <v>424</v>
      </c>
      <c r="AQ27" s="5" t="s">
        <v>425</v>
      </c>
      <c r="AR27" s="5" t="s">
        <v>426</v>
      </c>
      <c r="AS27" s="5" t="s">
        <v>427</v>
      </c>
      <c r="AT27" s="3" t="s">
        <v>65</v>
      </c>
      <c r="AU27" s="3" t="s">
        <v>65</v>
      </c>
      <c r="AV27" s="5" t="s">
        <v>428</v>
      </c>
      <c r="AW27" s="5" t="s">
        <v>429</v>
      </c>
      <c r="AX27" s="3" t="s">
        <v>65</v>
      </c>
      <c r="AY27" s="4" t="s">
        <v>430</v>
      </c>
      <c r="AZ27" s="4" t="s">
        <v>431</v>
      </c>
      <c r="BA27" s="2" t="s">
        <v>161</v>
      </c>
      <c r="BB27" s="2">
        <f t="shared" si="0"/>
        <v>16308</v>
      </c>
      <c r="BC27" s="15">
        <v>775385</v>
      </c>
    </row>
    <row r="28" ht="15.75" customHeight="1" spans="1:55">
      <c r="A28" s="2" t="s">
        <v>432</v>
      </c>
      <c r="B28" s="3" t="s">
        <v>433</v>
      </c>
      <c r="C28" s="3" t="s">
        <v>65</v>
      </c>
      <c r="D28" s="5" t="s">
        <v>60</v>
      </c>
      <c r="E28" s="4" t="s">
        <v>61</v>
      </c>
      <c r="F28" s="15">
        <v>1.51</v>
      </c>
      <c r="G28" s="14" t="s">
        <v>434</v>
      </c>
      <c r="H28" s="3">
        <v>-65.1</v>
      </c>
      <c r="I28" s="4" t="s">
        <v>149</v>
      </c>
      <c r="J28" s="4" t="s">
        <v>105</v>
      </c>
      <c r="K28" s="5"/>
      <c r="L28" s="3" t="s">
        <v>65</v>
      </c>
      <c r="M28" s="4" t="s">
        <v>258</v>
      </c>
      <c r="N28" s="4" t="s">
        <v>67</v>
      </c>
      <c r="O28" s="4" t="s">
        <v>67</v>
      </c>
      <c r="P28" s="4" t="s">
        <v>69</v>
      </c>
      <c r="Q28" s="4" t="s">
        <v>70</v>
      </c>
      <c r="R28" s="4" t="s">
        <v>71</v>
      </c>
      <c r="S28" s="4" t="s">
        <v>67</v>
      </c>
      <c r="T28" s="3" t="s">
        <v>65</v>
      </c>
      <c r="U28" s="3">
        <v>64.8</v>
      </c>
      <c r="V28" s="3">
        <v>54</v>
      </c>
      <c r="W28" s="4" t="s">
        <v>259</v>
      </c>
      <c r="X28" s="4" t="s">
        <v>319</v>
      </c>
      <c r="Y28" s="4" t="s">
        <v>435</v>
      </c>
      <c r="Z28" s="22">
        <v>1.382</v>
      </c>
      <c r="AA28" s="3">
        <v>6.4</v>
      </c>
      <c r="AB28" s="4" t="s">
        <v>76</v>
      </c>
      <c r="AC28" s="4" t="s">
        <v>71</v>
      </c>
      <c r="AD28" s="4" t="s">
        <v>136</v>
      </c>
      <c r="AE28" s="4" t="s">
        <v>75</v>
      </c>
      <c r="AF28" s="4" t="s">
        <v>75</v>
      </c>
      <c r="AG28" s="4" t="s">
        <v>75</v>
      </c>
      <c r="AH28" s="4" t="s">
        <v>75</v>
      </c>
      <c r="AI28" s="4" t="s">
        <v>321</v>
      </c>
      <c r="AJ28" s="4" t="s">
        <v>76</v>
      </c>
      <c r="AK28" s="5" t="s">
        <v>436</v>
      </c>
      <c r="AL28" s="3" t="s">
        <v>65</v>
      </c>
      <c r="AM28" s="3" t="s">
        <v>65</v>
      </c>
      <c r="AN28" s="3" t="s">
        <v>65</v>
      </c>
      <c r="AO28" s="5" t="s">
        <v>437</v>
      </c>
      <c r="AP28" s="5" t="s">
        <v>438</v>
      </c>
      <c r="AQ28" s="5" t="s">
        <v>439</v>
      </c>
      <c r="AR28" s="5" t="s">
        <v>440</v>
      </c>
      <c r="AS28" s="5" t="s">
        <v>441</v>
      </c>
      <c r="AT28" s="5" t="s">
        <v>442</v>
      </c>
      <c r="AU28" s="3" t="s">
        <v>65</v>
      </c>
      <c r="AV28" s="5" t="s">
        <v>443</v>
      </c>
      <c r="AW28" s="5" t="s">
        <v>444</v>
      </c>
      <c r="AX28" s="3" t="s">
        <v>65</v>
      </c>
      <c r="AY28" s="4" t="s">
        <v>445</v>
      </c>
      <c r="AZ28" s="4" t="s">
        <v>348</v>
      </c>
      <c r="BA28" s="2" t="s">
        <v>161</v>
      </c>
      <c r="BB28" s="2">
        <f t="shared" si="0"/>
        <v>16308</v>
      </c>
      <c r="BC28" s="15">
        <v>514004</v>
      </c>
    </row>
    <row r="29" ht="15.75" customHeight="1" spans="1:55">
      <c r="A29" s="2" t="s">
        <v>446</v>
      </c>
      <c r="B29" s="3" t="s">
        <v>447</v>
      </c>
      <c r="C29" s="3" t="s">
        <v>65</v>
      </c>
      <c r="D29" s="5" t="s">
        <v>60</v>
      </c>
      <c r="E29" s="4" t="s">
        <v>61</v>
      </c>
      <c r="F29" s="15">
        <v>1.5</v>
      </c>
      <c r="G29" s="14" t="s">
        <v>448</v>
      </c>
      <c r="H29" s="3">
        <v>-44.4</v>
      </c>
      <c r="I29" s="4" t="s">
        <v>149</v>
      </c>
      <c r="J29" s="4" t="s">
        <v>196</v>
      </c>
      <c r="K29" s="5"/>
      <c r="L29" s="3" t="s">
        <v>65</v>
      </c>
      <c r="M29" s="4" t="s">
        <v>197</v>
      </c>
      <c r="N29" s="4" t="s">
        <v>67</v>
      </c>
      <c r="O29" s="4" t="s">
        <v>68</v>
      </c>
      <c r="P29" s="4" t="s">
        <v>92</v>
      </c>
      <c r="Q29" s="3" t="s">
        <v>65</v>
      </c>
      <c r="R29" s="3" t="s">
        <v>65</v>
      </c>
      <c r="S29" s="4" t="s">
        <v>67</v>
      </c>
      <c r="T29" s="3" t="s">
        <v>65</v>
      </c>
      <c r="U29" s="3">
        <v>61.5</v>
      </c>
      <c r="V29" s="3">
        <v>64</v>
      </c>
      <c r="W29" s="4" t="s">
        <v>72</v>
      </c>
      <c r="X29" s="4" t="s">
        <v>319</v>
      </c>
      <c r="Y29" s="4" t="s">
        <v>449</v>
      </c>
      <c r="Z29" s="22">
        <v>1.459</v>
      </c>
      <c r="AA29" s="3">
        <v>4.5</v>
      </c>
      <c r="AB29" s="3" t="s">
        <v>65</v>
      </c>
      <c r="AC29" s="3" t="s">
        <v>65</v>
      </c>
      <c r="AD29" s="3" t="s">
        <v>65</v>
      </c>
      <c r="AE29" s="4" t="s">
        <v>75</v>
      </c>
      <c r="AF29" s="4" t="s">
        <v>75</v>
      </c>
      <c r="AG29" s="4" t="s">
        <v>75</v>
      </c>
      <c r="AH29" s="4" t="s">
        <v>75</v>
      </c>
      <c r="AI29" s="3" t="s">
        <v>65</v>
      </c>
      <c r="AJ29" s="4" t="s">
        <v>76</v>
      </c>
      <c r="AK29" s="5" t="s">
        <v>450</v>
      </c>
      <c r="AL29" s="3" t="s">
        <v>65</v>
      </c>
      <c r="AM29" s="3" t="s">
        <v>65</v>
      </c>
      <c r="AN29" s="3" t="s">
        <v>65</v>
      </c>
      <c r="AO29" s="5" t="s">
        <v>451</v>
      </c>
      <c r="AP29" s="5" t="s">
        <v>452</v>
      </c>
      <c r="AQ29" s="5" t="s">
        <v>453</v>
      </c>
      <c r="AR29" s="5" t="s">
        <v>454</v>
      </c>
      <c r="AS29" s="5" t="s">
        <v>455</v>
      </c>
      <c r="AT29" s="3" t="s">
        <v>65</v>
      </c>
      <c r="AU29" s="3" t="s">
        <v>65</v>
      </c>
      <c r="AV29" s="5" t="s">
        <v>456</v>
      </c>
      <c r="AW29" s="5" t="s">
        <v>457</v>
      </c>
      <c r="AX29" s="3" t="s">
        <v>65</v>
      </c>
      <c r="AY29" s="4" t="s">
        <v>86</v>
      </c>
      <c r="AZ29" s="3" t="s">
        <v>65</v>
      </c>
      <c r="BA29" s="2" t="s">
        <v>458</v>
      </c>
      <c r="BB29" s="2">
        <f t="shared" si="0"/>
        <v>15000</v>
      </c>
      <c r="BC29" s="15">
        <v>753600</v>
      </c>
    </row>
    <row r="30" ht="15.75" customHeight="1" spans="1:55">
      <c r="A30" s="2" t="s">
        <v>459</v>
      </c>
      <c r="B30" s="3" t="s">
        <v>460</v>
      </c>
      <c r="C30" s="3" t="s">
        <v>65</v>
      </c>
      <c r="D30" s="5" t="s">
        <v>60</v>
      </c>
      <c r="E30" s="4" t="s">
        <v>61</v>
      </c>
      <c r="F30" s="15">
        <v>1.5</v>
      </c>
      <c r="G30" s="14" t="s">
        <v>461</v>
      </c>
      <c r="H30" s="3">
        <v>-41.1</v>
      </c>
      <c r="I30" s="4" t="s">
        <v>149</v>
      </c>
      <c r="J30" s="4" t="s">
        <v>196</v>
      </c>
      <c r="K30" s="5"/>
      <c r="L30" s="3" t="s">
        <v>65</v>
      </c>
      <c r="M30" s="4" t="s">
        <v>197</v>
      </c>
      <c r="N30" s="4" t="s">
        <v>67</v>
      </c>
      <c r="O30" s="4" t="s">
        <v>67</v>
      </c>
      <c r="P30" s="4" t="s">
        <v>92</v>
      </c>
      <c r="Q30" s="3" t="s">
        <v>65</v>
      </c>
      <c r="R30" s="3" t="s">
        <v>65</v>
      </c>
      <c r="S30" s="4" t="s">
        <v>67</v>
      </c>
      <c r="T30" s="3" t="s">
        <v>65</v>
      </c>
      <c r="U30" s="3">
        <v>62.5</v>
      </c>
      <c r="V30" s="3">
        <v>63</v>
      </c>
      <c r="W30" s="4" t="s">
        <v>242</v>
      </c>
      <c r="X30" s="4" t="s">
        <v>180</v>
      </c>
      <c r="Y30" s="4" t="s">
        <v>462</v>
      </c>
      <c r="Z30" s="22">
        <v>1.518</v>
      </c>
      <c r="AA30" s="3">
        <v>4.4</v>
      </c>
      <c r="AB30" s="3" t="s">
        <v>65</v>
      </c>
      <c r="AC30" s="4" t="s">
        <v>71</v>
      </c>
      <c r="AD30" s="4" t="s">
        <v>136</v>
      </c>
      <c r="AE30" s="4" t="s">
        <v>75</v>
      </c>
      <c r="AF30" s="4" t="s">
        <v>75</v>
      </c>
      <c r="AG30" s="4" t="s">
        <v>75</v>
      </c>
      <c r="AH30" s="4" t="s">
        <v>75</v>
      </c>
      <c r="AI30" s="4" t="s">
        <v>321</v>
      </c>
      <c r="AJ30" s="4" t="s">
        <v>76</v>
      </c>
      <c r="AK30" s="5" t="s">
        <v>463</v>
      </c>
      <c r="AL30" s="3" t="s">
        <v>65</v>
      </c>
      <c r="AM30" s="3" t="s">
        <v>65</v>
      </c>
      <c r="AN30" s="3" t="s">
        <v>65</v>
      </c>
      <c r="AO30" s="5" t="s">
        <v>464</v>
      </c>
      <c r="AP30" s="5" t="s">
        <v>465</v>
      </c>
      <c r="AQ30" s="5" t="s">
        <v>466</v>
      </c>
      <c r="AR30" s="5" t="s">
        <v>467</v>
      </c>
      <c r="AS30" s="5" t="s">
        <v>468</v>
      </c>
      <c r="AT30" s="3" t="s">
        <v>65</v>
      </c>
      <c r="AU30" s="3" t="s">
        <v>65</v>
      </c>
      <c r="AV30" s="5" t="s">
        <v>469</v>
      </c>
      <c r="AW30" s="5" t="s">
        <v>470</v>
      </c>
      <c r="AX30" s="3" t="s">
        <v>65</v>
      </c>
      <c r="AY30" s="4" t="s">
        <v>314</v>
      </c>
      <c r="AZ30" s="4" t="s">
        <v>471</v>
      </c>
      <c r="BA30" s="2" t="s">
        <v>458</v>
      </c>
      <c r="BB30" s="2">
        <f t="shared" si="0"/>
        <v>15000</v>
      </c>
      <c r="BC30" s="15">
        <v>798750</v>
      </c>
    </row>
    <row r="31" ht="15.75" customHeight="1" spans="1:55">
      <c r="A31" s="2" t="s">
        <v>472</v>
      </c>
      <c r="B31" s="3" t="s">
        <v>473</v>
      </c>
      <c r="C31" s="4" t="s">
        <v>474</v>
      </c>
      <c r="D31" s="5" t="s">
        <v>60</v>
      </c>
      <c r="E31" s="4" t="s">
        <v>61</v>
      </c>
      <c r="F31" s="15">
        <v>1.51</v>
      </c>
      <c r="G31" s="14" t="s">
        <v>475</v>
      </c>
      <c r="H31" s="3">
        <v>-32.1</v>
      </c>
      <c r="I31" s="4" t="s">
        <v>149</v>
      </c>
      <c r="J31" s="4" t="s">
        <v>196</v>
      </c>
      <c r="K31" s="5"/>
      <c r="L31" s="3" t="s">
        <v>65</v>
      </c>
      <c r="M31" s="4" t="s">
        <v>197</v>
      </c>
      <c r="N31" s="4" t="s">
        <v>67</v>
      </c>
      <c r="O31" s="4" t="s">
        <v>67</v>
      </c>
      <c r="P31" s="4" t="s">
        <v>92</v>
      </c>
      <c r="Q31" s="3" t="s">
        <v>65</v>
      </c>
      <c r="R31" s="3" t="s">
        <v>65</v>
      </c>
      <c r="S31" s="4" t="s">
        <v>67</v>
      </c>
      <c r="T31" s="3" t="s">
        <v>65</v>
      </c>
      <c r="U31" s="3">
        <v>62.4</v>
      </c>
      <c r="V31" s="3">
        <v>62</v>
      </c>
      <c r="W31" s="4" t="s">
        <v>72</v>
      </c>
      <c r="X31" s="4" t="s">
        <v>73</v>
      </c>
      <c r="Y31" s="4" t="s">
        <v>476</v>
      </c>
      <c r="Z31" s="22">
        <v>1.452</v>
      </c>
      <c r="AA31" s="3">
        <v>4.2</v>
      </c>
      <c r="AB31" s="4" t="s">
        <v>76</v>
      </c>
      <c r="AC31" s="4" t="s">
        <v>354</v>
      </c>
      <c r="AD31" s="3" t="s">
        <v>65</v>
      </c>
      <c r="AE31" s="4" t="s">
        <v>75</v>
      </c>
      <c r="AF31" s="4" t="s">
        <v>75</v>
      </c>
      <c r="AG31" s="4" t="s">
        <v>75</v>
      </c>
      <c r="AH31" s="4" t="s">
        <v>75</v>
      </c>
      <c r="AI31" s="3" t="s">
        <v>65</v>
      </c>
      <c r="AJ31" s="4" t="s">
        <v>76</v>
      </c>
      <c r="AK31" s="5" t="s">
        <v>477</v>
      </c>
      <c r="AL31" s="3" t="s">
        <v>65</v>
      </c>
      <c r="AM31" s="3" t="s">
        <v>65</v>
      </c>
      <c r="AN31" s="3" t="s">
        <v>65</v>
      </c>
      <c r="AO31" s="5" t="s">
        <v>478</v>
      </c>
      <c r="AP31" s="5" t="s">
        <v>479</v>
      </c>
      <c r="AQ31" s="5" t="s">
        <v>480</v>
      </c>
      <c r="AR31" s="5" t="s">
        <v>481</v>
      </c>
      <c r="AS31" s="5" t="s">
        <v>482</v>
      </c>
      <c r="AT31" s="3" t="s">
        <v>65</v>
      </c>
      <c r="AU31" s="3" t="s">
        <v>65</v>
      </c>
      <c r="AV31" s="5" t="s">
        <v>483</v>
      </c>
      <c r="AW31" s="5" t="s">
        <v>484</v>
      </c>
      <c r="AX31" s="3" t="s">
        <v>65</v>
      </c>
      <c r="AY31" s="4" t="s">
        <v>485</v>
      </c>
      <c r="AZ31" s="4" t="s">
        <v>431</v>
      </c>
      <c r="BA31" s="2" t="s">
        <v>458</v>
      </c>
      <c r="BB31" s="2">
        <f t="shared" si="0"/>
        <v>15100</v>
      </c>
      <c r="BC31" s="15">
        <v>925781</v>
      </c>
    </row>
    <row r="32" ht="15.75" customHeight="1" spans="1:55">
      <c r="A32" s="2" t="s">
        <v>486</v>
      </c>
      <c r="B32" s="3" t="s">
        <v>487</v>
      </c>
      <c r="C32" s="3" t="s">
        <v>65</v>
      </c>
      <c r="D32" s="5" t="s">
        <v>60</v>
      </c>
      <c r="E32" s="4" t="s">
        <v>61</v>
      </c>
      <c r="F32" s="15">
        <v>1.5</v>
      </c>
      <c r="G32" s="14" t="s">
        <v>488</v>
      </c>
      <c r="H32" s="3">
        <v>-47.3</v>
      </c>
      <c r="I32" s="4" t="s">
        <v>149</v>
      </c>
      <c r="J32" s="4" t="s">
        <v>196</v>
      </c>
      <c r="K32" s="5"/>
      <c r="L32" s="3" t="s">
        <v>65</v>
      </c>
      <c r="M32" s="4" t="s">
        <v>66</v>
      </c>
      <c r="N32" s="4" t="s">
        <v>67</v>
      </c>
      <c r="O32" s="4" t="s">
        <v>67</v>
      </c>
      <c r="P32" s="4" t="s">
        <v>92</v>
      </c>
      <c r="Q32" s="3" t="s">
        <v>65</v>
      </c>
      <c r="R32" s="3" t="s">
        <v>65</v>
      </c>
      <c r="S32" s="4" t="s">
        <v>67</v>
      </c>
      <c r="T32" s="3" t="s">
        <v>65</v>
      </c>
      <c r="U32" s="3">
        <v>62.7</v>
      </c>
      <c r="V32" s="3">
        <v>65</v>
      </c>
      <c r="W32" s="4" t="s">
        <v>72</v>
      </c>
      <c r="X32" s="4" t="s">
        <v>73</v>
      </c>
      <c r="Y32" s="4" t="s">
        <v>489</v>
      </c>
      <c r="Z32" s="22">
        <v>1.4</v>
      </c>
      <c r="AA32" s="3">
        <v>5.2</v>
      </c>
      <c r="AB32" s="3" t="s">
        <v>65</v>
      </c>
      <c r="AC32" s="3" t="s">
        <v>65</v>
      </c>
      <c r="AD32" s="3" t="s">
        <v>65</v>
      </c>
      <c r="AE32" s="4" t="s">
        <v>75</v>
      </c>
      <c r="AF32" s="4" t="s">
        <v>75</v>
      </c>
      <c r="AG32" s="4" t="s">
        <v>107</v>
      </c>
      <c r="AH32" s="4" t="s">
        <v>75</v>
      </c>
      <c r="AI32" s="3" t="s">
        <v>65</v>
      </c>
      <c r="AJ32" s="4" t="s">
        <v>76</v>
      </c>
      <c r="AK32" s="5" t="s">
        <v>490</v>
      </c>
      <c r="AL32" s="3" t="s">
        <v>65</v>
      </c>
      <c r="AM32" s="3" t="s">
        <v>65</v>
      </c>
      <c r="AN32" s="3" t="s">
        <v>65</v>
      </c>
      <c r="AO32" s="5" t="s">
        <v>491</v>
      </c>
      <c r="AP32" s="5" t="s">
        <v>492</v>
      </c>
      <c r="AQ32" s="5" t="s">
        <v>493</v>
      </c>
      <c r="AR32" s="5" t="s">
        <v>494</v>
      </c>
      <c r="AS32" s="5" t="s">
        <v>495</v>
      </c>
      <c r="AT32" s="3" t="s">
        <v>65</v>
      </c>
      <c r="AU32" s="3" t="s">
        <v>65</v>
      </c>
      <c r="AV32" s="5" t="s">
        <v>496</v>
      </c>
      <c r="AW32" s="5" t="s">
        <v>497</v>
      </c>
      <c r="AX32" s="3" t="s">
        <v>65</v>
      </c>
      <c r="AY32" s="4" t="s">
        <v>253</v>
      </c>
      <c r="AZ32" s="3" t="s">
        <v>65</v>
      </c>
      <c r="BA32" s="2" t="s">
        <v>458</v>
      </c>
      <c r="BB32" s="2">
        <f t="shared" si="0"/>
        <v>15000</v>
      </c>
      <c r="BC32" s="15">
        <v>714750</v>
      </c>
    </row>
    <row r="33" ht="15.75" customHeight="1" spans="1:55">
      <c r="A33" s="2" t="s">
        <v>498</v>
      </c>
      <c r="B33" s="3" t="s">
        <v>499</v>
      </c>
      <c r="C33" s="3" t="s">
        <v>65</v>
      </c>
      <c r="D33" s="5" t="s">
        <v>60</v>
      </c>
      <c r="E33" s="4" t="s">
        <v>61</v>
      </c>
      <c r="F33" s="15">
        <v>1.5</v>
      </c>
      <c r="G33" s="14" t="s">
        <v>500</v>
      </c>
      <c r="H33" s="3">
        <v>-46.2</v>
      </c>
      <c r="I33" s="4" t="s">
        <v>149</v>
      </c>
      <c r="J33" s="4" t="s">
        <v>196</v>
      </c>
      <c r="K33" s="5"/>
      <c r="L33" s="3" t="s">
        <v>65</v>
      </c>
      <c r="M33" s="4" t="s">
        <v>66</v>
      </c>
      <c r="N33" s="4" t="s">
        <v>67</v>
      </c>
      <c r="O33" s="4" t="s">
        <v>67</v>
      </c>
      <c r="P33" s="4" t="s">
        <v>92</v>
      </c>
      <c r="Q33" s="3" t="s">
        <v>65</v>
      </c>
      <c r="R33" s="3" t="s">
        <v>65</v>
      </c>
      <c r="S33" s="4" t="s">
        <v>67</v>
      </c>
      <c r="T33" s="3" t="s">
        <v>65</v>
      </c>
      <c r="U33" s="3">
        <v>63.9</v>
      </c>
      <c r="V33" s="3">
        <v>64</v>
      </c>
      <c r="W33" s="4" t="s">
        <v>259</v>
      </c>
      <c r="X33" s="4" t="s">
        <v>319</v>
      </c>
      <c r="Y33" s="4" t="s">
        <v>501</v>
      </c>
      <c r="Z33" s="22">
        <v>1.442</v>
      </c>
      <c r="AA33" s="3">
        <v>5.1</v>
      </c>
      <c r="AB33" s="4" t="s">
        <v>76</v>
      </c>
      <c r="AC33" s="4" t="s">
        <v>354</v>
      </c>
      <c r="AD33" s="3" t="s">
        <v>65</v>
      </c>
      <c r="AE33" s="4" t="s">
        <v>75</v>
      </c>
      <c r="AF33" s="4" t="s">
        <v>75</v>
      </c>
      <c r="AG33" s="4" t="s">
        <v>75</v>
      </c>
      <c r="AH33" s="4" t="s">
        <v>75</v>
      </c>
      <c r="AI33" s="4" t="s">
        <v>321</v>
      </c>
      <c r="AJ33" s="4" t="s">
        <v>76</v>
      </c>
      <c r="AK33" s="5" t="s">
        <v>502</v>
      </c>
      <c r="AL33" s="3" t="s">
        <v>65</v>
      </c>
      <c r="AM33" s="3" t="s">
        <v>65</v>
      </c>
      <c r="AN33" s="3" t="s">
        <v>65</v>
      </c>
      <c r="AO33" s="5" t="s">
        <v>503</v>
      </c>
      <c r="AP33" s="5" t="s">
        <v>504</v>
      </c>
      <c r="AQ33" s="5" t="s">
        <v>505</v>
      </c>
      <c r="AR33" s="5" t="s">
        <v>506</v>
      </c>
      <c r="AS33" s="5" t="s">
        <v>507</v>
      </c>
      <c r="AT33" s="3" t="s">
        <v>65</v>
      </c>
      <c r="AU33" s="3" t="s">
        <v>65</v>
      </c>
      <c r="AV33" s="5" t="s">
        <v>508</v>
      </c>
      <c r="AW33" s="5" t="s">
        <v>509</v>
      </c>
      <c r="AX33" s="3" t="s">
        <v>65</v>
      </c>
      <c r="AY33" s="4" t="s">
        <v>390</v>
      </c>
      <c r="AZ33" s="4" t="s">
        <v>510</v>
      </c>
      <c r="BA33" s="2" t="s">
        <v>458</v>
      </c>
      <c r="BB33" s="2">
        <f t="shared" si="0"/>
        <v>15000</v>
      </c>
      <c r="BC33" s="15">
        <v>728400</v>
      </c>
    </row>
    <row r="34" ht="15.75" customHeight="1" spans="1:55">
      <c r="A34" s="2" t="s">
        <v>511</v>
      </c>
      <c r="B34" s="3" t="s">
        <v>512</v>
      </c>
      <c r="C34" s="3" t="s">
        <v>65</v>
      </c>
      <c r="D34" s="5" t="s">
        <v>60</v>
      </c>
      <c r="E34" s="4" t="s">
        <v>61</v>
      </c>
      <c r="F34" s="15">
        <v>1.5</v>
      </c>
      <c r="G34" s="14" t="s">
        <v>513</v>
      </c>
      <c r="H34" s="3">
        <v>-44.9</v>
      </c>
      <c r="I34" s="4" t="s">
        <v>149</v>
      </c>
      <c r="J34" s="4" t="s">
        <v>196</v>
      </c>
      <c r="K34" s="5"/>
      <c r="L34" s="3" t="s">
        <v>65</v>
      </c>
      <c r="M34" s="4" t="s">
        <v>66</v>
      </c>
      <c r="N34" s="4" t="s">
        <v>67</v>
      </c>
      <c r="O34" s="4" t="s">
        <v>67</v>
      </c>
      <c r="P34" s="4" t="s">
        <v>92</v>
      </c>
      <c r="Q34" s="3" t="s">
        <v>65</v>
      </c>
      <c r="R34" s="3" t="s">
        <v>65</v>
      </c>
      <c r="S34" s="4" t="s">
        <v>67</v>
      </c>
      <c r="T34" s="3" t="s">
        <v>65</v>
      </c>
      <c r="U34" s="3">
        <v>60.2</v>
      </c>
      <c r="V34" s="3">
        <v>65</v>
      </c>
      <c r="W34" s="4" t="s">
        <v>72</v>
      </c>
      <c r="X34" s="4" t="s">
        <v>352</v>
      </c>
      <c r="Y34" s="4" t="s">
        <v>514</v>
      </c>
      <c r="Z34" s="22">
        <v>1.523</v>
      </c>
      <c r="AA34" s="3">
        <v>5.4</v>
      </c>
      <c r="AB34" s="4" t="s">
        <v>76</v>
      </c>
      <c r="AC34" s="3" t="s">
        <v>65</v>
      </c>
      <c r="AD34" s="3" t="s">
        <v>65</v>
      </c>
      <c r="AE34" s="4" t="s">
        <v>75</v>
      </c>
      <c r="AF34" s="4" t="s">
        <v>75</v>
      </c>
      <c r="AG34" s="4" t="s">
        <v>75</v>
      </c>
      <c r="AH34" s="4" t="s">
        <v>75</v>
      </c>
      <c r="AI34" s="3" t="s">
        <v>65</v>
      </c>
      <c r="AJ34" s="4" t="s">
        <v>76</v>
      </c>
      <c r="AK34" s="5" t="s">
        <v>515</v>
      </c>
      <c r="AL34" s="3" t="s">
        <v>65</v>
      </c>
      <c r="AM34" s="3" t="s">
        <v>65</v>
      </c>
      <c r="AN34" s="3" t="s">
        <v>65</v>
      </c>
      <c r="AO34" s="5" t="s">
        <v>516</v>
      </c>
      <c r="AP34" s="5" t="s">
        <v>517</v>
      </c>
      <c r="AQ34" s="5" t="s">
        <v>518</v>
      </c>
      <c r="AR34" s="5" t="s">
        <v>519</v>
      </c>
      <c r="AS34" s="5" t="s">
        <v>520</v>
      </c>
      <c r="AT34" s="3" t="s">
        <v>65</v>
      </c>
      <c r="AU34" s="3" t="s">
        <v>65</v>
      </c>
      <c r="AV34" s="5" t="s">
        <v>521</v>
      </c>
      <c r="AW34" s="5" t="s">
        <v>522</v>
      </c>
      <c r="AX34" s="3" t="s">
        <v>65</v>
      </c>
      <c r="AY34" s="4" t="s">
        <v>86</v>
      </c>
      <c r="AZ34" s="3" t="s">
        <v>65</v>
      </c>
      <c r="BA34" s="2" t="s">
        <v>458</v>
      </c>
      <c r="BB34" s="2">
        <f t="shared" si="0"/>
        <v>15000</v>
      </c>
      <c r="BC34" s="15">
        <v>746850</v>
      </c>
    </row>
    <row r="35" ht="15.75" customHeight="1" spans="1:55">
      <c r="A35" s="2" t="s">
        <v>523</v>
      </c>
      <c r="B35" s="3" t="s">
        <v>524</v>
      </c>
      <c r="C35" s="3" t="s">
        <v>65</v>
      </c>
      <c r="D35" s="5" t="s">
        <v>60</v>
      </c>
      <c r="E35" s="4" t="s">
        <v>61</v>
      </c>
      <c r="F35" s="15">
        <v>1.51</v>
      </c>
      <c r="G35" s="14" t="s">
        <v>525</v>
      </c>
      <c r="H35" s="3">
        <v>-44.1</v>
      </c>
      <c r="I35" s="4" t="s">
        <v>149</v>
      </c>
      <c r="J35" s="4" t="s">
        <v>196</v>
      </c>
      <c r="K35" s="5"/>
      <c r="L35" s="3" t="s">
        <v>65</v>
      </c>
      <c r="M35" s="4" t="s">
        <v>66</v>
      </c>
      <c r="N35" s="4" t="s">
        <v>67</v>
      </c>
      <c r="O35" s="4" t="s">
        <v>67</v>
      </c>
      <c r="P35" s="4" t="s">
        <v>92</v>
      </c>
      <c r="Q35" s="3" t="s">
        <v>65</v>
      </c>
      <c r="R35" s="3" t="s">
        <v>65</v>
      </c>
      <c r="S35" s="4" t="s">
        <v>67</v>
      </c>
      <c r="T35" s="3" t="s">
        <v>65</v>
      </c>
      <c r="U35" s="3">
        <v>61.6</v>
      </c>
      <c r="V35" s="3">
        <v>65</v>
      </c>
      <c r="W35" s="4" t="s">
        <v>259</v>
      </c>
      <c r="X35" s="4" t="s">
        <v>352</v>
      </c>
      <c r="Y35" s="4" t="s">
        <v>526</v>
      </c>
      <c r="Z35" s="22">
        <v>1.442</v>
      </c>
      <c r="AA35" s="3">
        <v>4.9</v>
      </c>
      <c r="AB35" s="3" t="s">
        <v>65</v>
      </c>
      <c r="AC35" s="3" t="s">
        <v>65</v>
      </c>
      <c r="AD35" s="3" t="s">
        <v>65</v>
      </c>
      <c r="AE35" s="4" t="s">
        <v>75</v>
      </c>
      <c r="AF35" s="4" t="s">
        <v>75</v>
      </c>
      <c r="AG35" s="4" t="s">
        <v>75</v>
      </c>
      <c r="AH35" s="4" t="s">
        <v>75</v>
      </c>
      <c r="AI35" s="4" t="s">
        <v>261</v>
      </c>
      <c r="AJ35" s="4" t="s">
        <v>76</v>
      </c>
      <c r="AK35" s="5" t="s">
        <v>527</v>
      </c>
      <c r="AL35" s="3" t="s">
        <v>65</v>
      </c>
      <c r="AM35" s="3" t="s">
        <v>65</v>
      </c>
      <c r="AN35" s="3" t="s">
        <v>65</v>
      </c>
      <c r="AO35" s="5" t="s">
        <v>528</v>
      </c>
      <c r="AP35" s="5" t="s">
        <v>529</v>
      </c>
      <c r="AQ35" s="5" t="s">
        <v>530</v>
      </c>
      <c r="AR35" s="5" t="s">
        <v>531</v>
      </c>
      <c r="AS35" s="5" t="s">
        <v>532</v>
      </c>
      <c r="AT35" s="3" t="s">
        <v>65</v>
      </c>
      <c r="AU35" s="3" t="s">
        <v>65</v>
      </c>
      <c r="AV35" s="5" t="s">
        <v>533</v>
      </c>
      <c r="AW35" s="5" t="s">
        <v>534</v>
      </c>
      <c r="AX35" s="3" t="s">
        <v>65</v>
      </c>
      <c r="AY35" s="4" t="s">
        <v>116</v>
      </c>
      <c r="AZ35" s="3" t="s">
        <v>65</v>
      </c>
      <c r="BA35" s="2" t="s">
        <v>458</v>
      </c>
      <c r="BB35" s="2">
        <f t="shared" si="0"/>
        <v>15100</v>
      </c>
      <c r="BC35" s="15">
        <v>762097</v>
      </c>
    </row>
    <row r="36" ht="15.75" customHeight="1" spans="1:55">
      <c r="A36" s="2" t="s">
        <v>535</v>
      </c>
      <c r="B36" s="3" t="s">
        <v>536</v>
      </c>
      <c r="C36" s="3" t="s">
        <v>65</v>
      </c>
      <c r="D36" s="5" t="s">
        <v>60</v>
      </c>
      <c r="E36" s="4" t="s">
        <v>61</v>
      </c>
      <c r="F36" s="15">
        <v>1.51</v>
      </c>
      <c r="G36" s="14" t="s">
        <v>537</v>
      </c>
      <c r="H36" s="3">
        <v>-43.6</v>
      </c>
      <c r="I36" s="4" t="s">
        <v>149</v>
      </c>
      <c r="J36" s="4" t="s">
        <v>196</v>
      </c>
      <c r="K36" s="5"/>
      <c r="L36" s="3" t="s">
        <v>65</v>
      </c>
      <c r="M36" s="4" t="s">
        <v>66</v>
      </c>
      <c r="N36" s="4" t="s">
        <v>67</v>
      </c>
      <c r="O36" s="4" t="s">
        <v>68</v>
      </c>
      <c r="P36" s="4" t="s">
        <v>92</v>
      </c>
      <c r="Q36" s="3" t="s">
        <v>65</v>
      </c>
      <c r="R36" s="3" t="s">
        <v>65</v>
      </c>
      <c r="S36" s="4" t="s">
        <v>67</v>
      </c>
      <c r="T36" s="3" t="s">
        <v>65</v>
      </c>
      <c r="U36" s="3">
        <v>63.9</v>
      </c>
      <c r="V36" s="3">
        <v>58</v>
      </c>
      <c r="W36" s="4" t="s">
        <v>72</v>
      </c>
      <c r="X36" s="4" t="s">
        <v>73</v>
      </c>
      <c r="Y36" s="4" t="s">
        <v>538</v>
      </c>
      <c r="Z36" s="22">
        <v>1.441</v>
      </c>
      <c r="AA36" s="3">
        <v>5.5</v>
      </c>
      <c r="AB36" s="3" t="s">
        <v>65</v>
      </c>
      <c r="AC36" s="3" t="s">
        <v>65</v>
      </c>
      <c r="AD36" s="3" t="s">
        <v>65</v>
      </c>
      <c r="AE36" s="4" t="s">
        <v>75</v>
      </c>
      <c r="AF36" s="4" t="s">
        <v>75</v>
      </c>
      <c r="AG36" s="4" t="s">
        <v>539</v>
      </c>
      <c r="AH36" s="4" t="s">
        <v>75</v>
      </c>
      <c r="AI36" s="3" t="s">
        <v>65</v>
      </c>
      <c r="AJ36" s="4" t="s">
        <v>76</v>
      </c>
      <c r="AK36" s="5" t="s">
        <v>540</v>
      </c>
      <c r="AL36" s="3" t="s">
        <v>65</v>
      </c>
      <c r="AM36" s="3" t="s">
        <v>65</v>
      </c>
      <c r="AN36" s="3" t="s">
        <v>65</v>
      </c>
      <c r="AO36" s="5" t="s">
        <v>541</v>
      </c>
      <c r="AP36" s="5" t="s">
        <v>542</v>
      </c>
      <c r="AQ36" s="5" t="s">
        <v>543</v>
      </c>
      <c r="AR36" s="5" t="s">
        <v>544</v>
      </c>
      <c r="AS36" s="5" t="s">
        <v>545</v>
      </c>
      <c r="AT36" s="3" t="s">
        <v>65</v>
      </c>
      <c r="AU36" s="3" t="s">
        <v>65</v>
      </c>
      <c r="AV36" s="5" t="s">
        <v>546</v>
      </c>
      <c r="AW36" s="5" t="s">
        <v>547</v>
      </c>
      <c r="AX36" s="3" t="s">
        <v>65</v>
      </c>
      <c r="AY36" s="4" t="s">
        <v>548</v>
      </c>
      <c r="AZ36" s="3" t="s">
        <v>65</v>
      </c>
      <c r="BA36" s="2" t="s">
        <v>458</v>
      </c>
      <c r="BB36" s="2">
        <f t="shared" si="0"/>
        <v>15100</v>
      </c>
      <c r="BC36" s="15">
        <v>769043</v>
      </c>
    </row>
    <row r="37" ht="15.75" customHeight="1" spans="1:55">
      <c r="A37" s="2" t="s">
        <v>549</v>
      </c>
      <c r="B37" s="3" t="s">
        <v>550</v>
      </c>
      <c r="C37" s="3" t="s">
        <v>65</v>
      </c>
      <c r="D37" s="5" t="s">
        <v>60</v>
      </c>
      <c r="E37" s="4" t="s">
        <v>61</v>
      </c>
      <c r="F37" s="15">
        <v>1.5</v>
      </c>
      <c r="G37" s="14" t="s">
        <v>551</v>
      </c>
      <c r="H37" s="3">
        <v>-41.9</v>
      </c>
      <c r="I37" s="4" t="s">
        <v>335</v>
      </c>
      <c r="J37" s="4" t="s">
        <v>196</v>
      </c>
      <c r="K37" s="5"/>
      <c r="L37" s="3" t="s">
        <v>65</v>
      </c>
      <c r="M37" s="4" t="s">
        <v>66</v>
      </c>
      <c r="N37" s="4" t="s">
        <v>67</v>
      </c>
      <c r="O37" s="4" t="s">
        <v>68</v>
      </c>
      <c r="P37" s="4" t="s">
        <v>92</v>
      </c>
      <c r="Q37" s="3" t="s">
        <v>65</v>
      </c>
      <c r="R37" s="3" t="s">
        <v>65</v>
      </c>
      <c r="S37" s="4" t="s">
        <v>67</v>
      </c>
      <c r="T37" s="4" t="s">
        <v>336</v>
      </c>
      <c r="U37" s="3">
        <v>63.9</v>
      </c>
      <c r="V37" s="3">
        <v>61</v>
      </c>
      <c r="W37" s="4" t="s">
        <v>242</v>
      </c>
      <c r="X37" s="4" t="s">
        <v>180</v>
      </c>
      <c r="Y37" s="4" t="s">
        <v>501</v>
      </c>
      <c r="Z37" s="22">
        <v>1.442</v>
      </c>
      <c r="AA37" s="3">
        <v>5.3</v>
      </c>
      <c r="AB37" s="4" t="s">
        <v>338</v>
      </c>
      <c r="AC37" s="3" t="s">
        <v>65</v>
      </c>
      <c r="AD37" s="3" t="s">
        <v>65</v>
      </c>
      <c r="AE37" s="4" t="s">
        <v>75</v>
      </c>
      <c r="AF37" s="4" t="s">
        <v>107</v>
      </c>
      <c r="AG37" s="4" t="s">
        <v>107</v>
      </c>
      <c r="AH37" s="4" t="s">
        <v>107</v>
      </c>
      <c r="AI37" s="4" t="s">
        <v>261</v>
      </c>
      <c r="AJ37" s="4" t="s">
        <v>76</v>
      </c>
      <c r="AK37" s="5" t="s">
        <v>552</v>
      </c>
      <c r="AL37" s="3" t="s">
        <v>65</v>
      </c>
      <c r="AM37" s="3" t="s">
        <v>65</v>
      </c>
      <c r="AN37" s="3" t="s">
        <v>65</v>
      </c>
      <c r="AO37" s="5" t="s">
        <v>553</v>
      </c>
      <c r="AP37" s="5" t="s">
        <v>554</v>
      </c>
      <c r="AQ37" s="5" t="s">
        <v>555</v>
      </c>
      <c r="AR37" s="5" t="s">
        <v>556</v>
      </c>
      <c r="AS37" s="5" t="s">
        <v>557</v>
      </c>
      <c r="AT37" s="3" t="s">
        <v>65</v>
      </c>
      <c r="AU37" s="3" t="s">
        <v>65</v>
      </c>
      <c r="AV37" s="5" t="s">
        <v>558</v>
      </c>
      <c r="AW37" s="5" t="s">
        <v>559</v>
      </c>
      <c r="AX37" s="3" t="s">
        <v>65</v>
      </c>
      <c r="AY37" s="4" t="s">
        <v>560</v>
      </c>
      <c r="AZ37" s="4" t="s">
        <v>561</v>
      </c>
      <c r="BA37" s="2" t="s">
        <v>562</v>
      </c>
      <c r="BB37" s="2">
        <f t="shared" si="0"/>
        <v>13950</v>
      </c>
      <c r="BC37" s="15">
        <v>732450</v>
      </c>
    </row>
    <row r="38" ht="15.75" customHeight="1" spans="1:55">
      <c r="A38" s="2" t="s">
        <v>563</v>
      </c>
      <c r="B38" s="3" t="s">
        <v>564</v>
      </c>
      <c r="C38" s="4" t="s">
        <v>59</v>
      </c>
      <c r="D38" s="5" t="s">
        <v>60</v>
      </c>
      <c r="E38" s="4" t="s">
        <v>61</v>
      </c>
      <c r="F38" s="15">
        <v>1.8</v>
      </c>
      <c r="G38" s="14" t="s">
        <v>565</v>
      </c>
      <c r="H38" s="3">
        <v>-38.2</v>
      </c>
      <c r="I38" s="4" t="s">
        <v>149</v>
      </c>
      <c r="J38" s="4" t="s">
        <v>196</v>
      </c>
      <c r="K38" s="5"/>
      <c r="L38" s="3" t="s">
        <v>65</v>
      </c>
      <c r="M38" s="4" t="s">
        <v>258</v>
      </c>
      <c r="N38" s="4" t="s">
        <v>67</v>
      </c>
      <c r="O38" s="4" t="s">
        <v>68</v>
      </c>
      <c r="P38" s="4" t="s">
        <v>92</v>
      </c>
      <c r="Q38" s="3" t="s">
        <v>65</v>
      </c>
      <c r="R38" s="3" t="s">
        <v>65</v>
      </c>
      <c r="S38" s="4" t="s">
        <v>67</v>
      </c>
      <c r="T38" s="3" t="s">
        <v>65</v>
      </c>
      <c r="U38" s="3">
        <v>65.3</v>
      </c>
      <c r="V38" s="3">
        <v>57</v>
      </c>
      <c r="W38" s="4" t="s">
        <v>259</v>
      </c>
      <c r="X38" s="4" t="s">
        <v>352</v>
      </c>
      <c r="Y38" s="4" t="s">
        <v>566</v>
      </c>
      <c r="Z38" s="22">
        <v>1.43</v>
      </c>
      <c r="AA38" s="3">
        <v>6.4</v>
      </c>
      <c r="AB38" s="3" t="s">
        <v>65</v>
      </c>
      <c r="AC38" s="4" t="s">
        <v>71</v>
      </c>
      <c r="AD38" s="4" t="s">
        <v>136</v>
      </c>
      <c r="AE38" s="4" t="s">
        <v>75</v>
      </c>
      <c r="AF38" s="4" t="s">
        <v>75</v>
      </c>
      <c r="AG38" s="4" t="s">
        <v>182</v>
      </c>
      <c r="AH38" s="4" t="s">
        <v>182</v>
      </c>
      <c r="AI38" s="4" t="s">
        <v>261</v>
      </c>
      <c r="AJ38" s="4" t="s">
        <v>76</v>
      </c>
      <c r="AK38" s="5" t="s">
        <v>567</v>
      </c>
      <c r="AL38" s="3" t="s">
        <v>65</v>
      </c>
      <c r="AM38" s="3" t="s">
        <v>65</v>
      </c>
      <c r="AN38" s="3" t="s">
        <v>65</v>
      </c>
      <c r="AO38" s="5" t="s">
        <v>568</v>
      </c>
      <c r="AP38" s="5" t="s">
        <v>569</v>
      </c>
      <c r="AQ38" s="5" t="s">
        <v>570</v>
      </c>
      <c r="AR38" s="5" t="s">
        <v>571</v>
      </c>
      <c r="AS38" s="5" t="s">
        <v>572</v>
      </c>
      <c r="AT38" s="3" t="s">
        <v>65</v>
      </c>
      <c r="AU38" s="3" t="s">
        <v>65</v>
      </c>
      <c r="AV38" s="5" t="s">
        <v>573</v>
      </c>
      <c r="AW38" s="5" t="s">
        <v>574</v>
      </c>
      <c r="AX38" s="3" t="s">
        <v>65</v>
      </c>
      <c r="AY38" s="4" t="s">
        <v>575</v>
      </c>
      <c r="AZ38" s="3" t="s">
        <v>65</v>
      </c>
      <c r="BA38" s="2" t="s">
        <v>458</v>
      </c>
      <c r="BB38" s="2">
        <f t="shared" si="0"/>
        <v>18000</v>
      </c>
      <c r="BC38" s="15">
        <v>1004760</v>
      </c>
    </row>
    <row r="39" ht="15.75" customHeight="1" spans="1:55">
      <c r="A39" s="2" t="s">
        <v>576</v>
      </c>
      <c r="B39" s="3" t="s">
        <v>577</v>
      </c>
      <c r="C39" s="3" t="s">
        <v>65</v>
      </c>
      <c r="D39" s="5" t="s">
        <v>60</v>
      </c>
      <c r="E39" s="4" t="s">
        <v>61</v>
      </c>
      <c r="F39" s="15">
        <v>1.65</v>
      </c>
      <c r="G39" s="14" t="s">
        <v>578</v>
      </c>
      <c r="H39" s="3">
        <v>-54.2</v>
      </c>
      <c r="I39" s="4" t="s">
        <v>335</v>
      </c>
      <c r="J39" s="4" t="s">
        <v>240</v>
      </c>
      <c r="K39" s="5"/>
      <c r="L39" s="3" t="s">
        <v>65</v>
      </c>
      <c r="M39" s="4" t="s">
        <v>68</v>
      </c>
      <c r="N39" s="4" t="s">
        <v>67</v>
      </c>
      <c r="O39" s="4" t="s">
        <v>67</v>
      </c>
      <c r="P39" s="4" t="s">
        <v>276</v>
      </c>
      <c r="Q39" s="4" t="s">
        <v>70</v>
      </c>
      <c r="R39" s="3" t="s">
        <v>65</v>
      </c>
      <c r="S39" s="4" t="s">
        <v>67</v>
      </c>
      <c r="T39" s="4" t="s">
        <v>336</v>
      </c>
      <c r="U39" s="3">
        <v>64</v>
      </c>
      <c r="V39" s="3">
        <v>62</v>
      </c>
      <c r="W39" s="4" t="s">
        <v>318</v>
      </c>
      <c r="X39" s="4" t="s">
        <v>352</v>
      </c>
      <c r="Y39" s="4" t="s">
        <v>579</v>
      </c>
      <c r="Z39" s="22">
        <v>1.391</v>
      </c>
      <c r="AA39" s="3">
        <v>5.3</v>
      </c>
      <c r="AB39" s="4" t="s">
        <v>338</v>
      </c>
      <c r="AC39" s="3" t="s">
        <v>65</v>
      </c>
      <c r="AD39" s="3" t="s">
        <v>65</v>
      </c>
      <c r="AE39" s="4" t="s">
        <v>75</v>
      </c>
      <c r="AF39" s="4" t="s">
        <v>107</v>
      </c>
      <c r="AG39" s="4" t="s">
        <v>75</v>
      </c>
      <c r="AH39" s="4" t="s">
        <v>75</v>
      </c>
      <c r="AI39" s="4" t="s">
        <v>261</v>
      </c>
      <c r="AJ39" s="4" t="s">
        <v>76</v>
      </c>
      <c r="AK39" s="5" t="s">
        <v>580</v>
      </c>
      <c r="AL39" s="3" t="s">
        <v>65</v>
      </c>
      <c r="AM39" s="3" t="s">
        <v>65</v>
      </c>
      <c r="AN39" s="3" t="s">
        <v>65</v>
      </c>
      <c r="AO39" s="5" t="s">
        <v>581</v>
      </c>
      <c r="AP39" s="5" t="s">
        <v>582</v>
      </c>
      <c r="AQ39" s="5" t="s">
        <v>583</v>
      </c>
      <c r="AR39" s="5" t="s">
        <v>584</v>
      </c>
      <c r="AS39" s="5" t="s">
        <v>585</v>
      </c>
      <c r="AT39" s="5" t="s">
        <v>586</v>
      </c>
      <c r="AU39" s="3" t="s">
        <v>65</v>
      </c>
      <c r="AV39" s="5" t="s">
        <v>587</v>
      </c>
      <c r="AW39" s="5" t="s">
        <v>588</v>
      </c>
      <c r="AX39" s="3" t="s">
        <v>65</v>
      </c>
      <c r="AY39" s="4" t="s">
        <v>589</v>
      </c>
      <c r="AZ39" s="4" t="s">
        <v>561</v>
      </c>
      <c r="BA39" s="2" t="s">
        <v>288</v>
      </c>
      <c r="BB39" s="2">
        <f t="shared" si="0"/>
        <v>19140</v>
      </c>
      <c r="BC39" s="15">
        <v>792165</v>
      </c>
    </row>
    <row r="40" ht="15.75" customHeight="1" spans="1:55">
      <c r="A40" s="2" t="s">
        <v>590</v>
      </c>
      <c r="B40" s="3" t="s">
        <v>591</v>
      </c>
      <c r="C40" s="3" t="s">
        <v>65</v>
      </c>
      <c r="D40" s="5" t="s">
        <v>60</v>
      </c>
      <c r="E40" s="4" t="s">
        <v>61</v>
      </c>
      <c r="F40" s="15">
        <v>1.5</v>
      </c>
      <c r="G40" s="14" t="s">
        <v>592</v>
      </c>
      <c r="H40" s="3">
        <v>-48.9</v>
      </c>
      <c r="I40" s="4" t="s">
        <v>335</v>
      </c>
      <c r="J40" s="4" t="s">
        <v>64</v>
      </c>
      <c r="K40" s="5"/>
      <c r="L40" s="3" t="s">
        <v>65</v>
      </c>
      <c r="M40" s="4" t="s">
        <v>66</v>
      </c>
      <c r="N40" s="4" t="s">
        <v>67</v>
      </c>
      <c r="O40" s="4" t="s">
        <v>68</v>
      </c>
      <c r="P40" s="4" t="s">
        <v>92</v>
      </c>
      <c r="Q40" s="3" t="s">
        <v>65</v>
      </c>
      <c r="R40" s="3" t="s">
        <v>65</v>
      </c>
      <c r="S40" s="4" t="s">
        <v>67</v>
      </c>
      <c r="T40" s="4" t="s">
        <v>336</v>
      </c>
      <c r="U40" s="3">
        <v>62.5</v>
      </c>
      <c r="V40" s="3">
        <v>64</v>
      </c>
      <c r="W40" s="4" t="s">
        <v>242</v>
      </c>
      <c r="X40" s="4" t="s">
        <v>352</v>
      </c>
      <c r="Y40" s="4" t="s">
        <v>593</v>
      </c>
      <c r="Z40" s="22">
        <v>1.442</v>
      </c>
      <c r="AA40" s="3">
        <v>5.5</v>
      </c>
      <c r="AB40" s="4" t="s">
        <v>338</v>
      </c>
      <c r="AC40" s="4" t="s">
        <v>71</v>
      </c>
      <c r="AD40" s="4" t="s">
        <v>136</v>
      </c>
      <c r="AE40" s="4" t="s">
        <v>107</v>
      </c>
      <c r="AF40" s="4" t="s">
        <v>75</v>
      </c>
      <c r="AG40" s="4" t="s">
        <v>539</v>
      </c>
      <c r="AH40" s="4" t="s">
        <v>75</v>
      </c>
      <c r="AI40" s="4" t="s">
        <v>261</v>
      </c>
      <c r="AJ40" s="4" t="s">
        <v>76</v>
      </c>
      <c r="AK40" s="5" t="s">
        <v>594</v>
      </c>
      <c r="AL40" s="3" t="s">
        <v>65</v>
      </c>
      <c r="AM40" s="3" t="s">
        <v>65</v>
      </c>
      <c r="AN40" s="3" t="s">
        <v>65</v>
      </c>
      <c r="AO40" s="5" t="s">
        <v>595</v>
      </c>
      <c r="AP40" s="5" t="s">
        <v>596</v>
      </c>
      <c r="AQ40" s="5" t="s">
        <v>597</v>
      </c>
      <c r="AR40" s="5" t="s">
        <v>598</v>
      </c>
      <c r="AS40" s="5" t="s">
        <v>599</v>
      </c>
      <c r="AT40" s="3" t="s">
        <v>65</v>
      </c>
      <c r="AU40" s="3" t="s">
        <v>65</v>
      </c>
      <c r="AV40" s="5" t="s">
        <v>600</v>
      </c>
      <c r="AW40" s="5" t="s">
        <v>601</v>
      </c>
      <c r="AX40" s="3" t="s">
        <v>65</v>
      </c>
      <c r="AY40" s="4" t="s">
        <v>602</v>
      </c>
      <c r="AZ40" s="4" t="s">
        <v>603</v>
      </c>
      <c r="BA40" s="2" t="s">
        <v>161</v>
      </c>
      <c r="BB40" s="2">
        <f t="shared" si="0"/>
        <v>16200</v>
      </c>
      <c r="BC40" s="15">
        <v>747450</v>
      </c>
    </row>
    <row r="41" ht="15.75" customHeight="1" spans="1:55">
      <c r="A41" s="2" t="s">
        <v>604</v>
      </c>
      <c r="B41" s="3" t="s">
        <v>605</v>
      </c>
      <c r="C41" s="3" t="s">
        <v>65</v>
      </c>
      <c r="D41" s="5" t="s">
        <v>60</v>
      </c>
      <c r="E41" s="4" t="s">
        <v>61</v>
      </c>
      <c r="F41" s="15">
        <v>1.5</v>
      </c>
      <c r="G41" s="14" t="s">
        <v>606</v>
      </c>
      <c r="H41" s="3">
        <v>-40.1</v>
      </c>
      <c r="I41" s="4" t="s">
        <v>607</v>
      </c>
      <c r="J41" s="4" t="s">
        <v>64</v>
      </c>
      <c r="K41" s="5"/>
      <c r="L41" s="3" t="s">
        <v>65</v>
      </c>
      <c r="M41" s="4" t="s">
        <v>66</v>
      </c>
      <c r="N41" s="4" t="s">
        <v>67</v>
      </c>
      <c r="O41" s="4" t="s">
        <v>67</v>
      </c>
      <c r="P41" s="4" t="s">
        <v>92</v>
      </c>
      <c r="Q41" s="3" t="s">
        <v>65</v>
      </c>
      <c r="R41" s="3" t="s">
        <v>65</v>
      </c>
      <c r="S41" s="4" t="s">
        <v>67</v>
      </c>
      <c r="T41" s="4" t="s">
        <v>336</v>
      </c>
      <c r="U41" s="3">
        <v>63.3</v>
      </c>
      <c r="V41" s="3">
        <v>65</v>
      </c>
      <c r="W41" s="4" t="s">
        <v>242</v>
      </c>
      <c r="X41" s="4" t="s">
        <v>352</v>
      </c>
      <c r="Y41" s="4" t="s">
        <v>608</v>
      </c>
      <c r="Z41" s="22">
        <v>1.443</v>
      </c>
      <c r="AA41" s="3">
        <v>5.3</v>
      </c>
      <c r="AB41" s="4" t="s">
        <v>609</v>
      </c>
      <c r="AC41" s="4" t="s">
        <v>354</v>
      </c>
      <c r="AD41" s="4" t="s">
        <v>136</v>
      </c>
      <c r="AE41" s="4" t="s">
        <v>75</v>
      </c>
      <c r="AF41" s="4" t="s">
        <v>75</v>
      </c>
      <c r="AG41" s="4" t="s">
        <v>75</v>
      </c>
      <c r="AH41" s="4" t="s">
        <v>75</v>
      </c>
      <c r="AI41" s="4" t="s">
        <v>261</v>
      </c>
      <c r="AJ41" s="4" t="s">
        <v>76</v>
      </c>
      <c r="AK41" s="5" t="s">
        <v>610</v>
      </c>
      <c r="AL41" s="3" t="s">
        <v>65</v>
      </c>
      <c r="AM41" s="3" t="s">
        <v>65</v>
      </c>
      <c r="AN41" s="3" t="s">
        <v>65</v>
      </c>
      <c r="AO41" s="5" t="s">
        <v>611</v>
      </c>
      <c r="AP41" s="5" t="s">
        <v>612</v>
      </c>
      <c r="AQ41" s="5" t="s">
        <v>613</v>
      </c>
      <c r="AR41" s="5" t="s">
        <v>614</v>
      </c>
      <c r="AS41" s="5" t="s">
        <v>615</v>
      </c>
      <c r="AT41" s="3" t="s">
        <v>65</v>
      </c>
      <c r="AU41" s="3" t="s">
        <v>65</v>
      </c>
      <c r="AV41" s="5" t="s">
        <v>616</v>
      </c>
      <c r="AW41" s="5" t="s">
        <v>617</v>
      </c>
      <c r="AX41" s="3" t="s">
        <v>65</v>
      </c>
      <c r="AY41" s="4" t="s">
        <v>618</v>
      </c>
      <c r="AZ41" s="4" t="s">
        <v>619</v>
      </c>
      <c r="BA41" s="2" t="s">
        <v>562</v>
      </c>
      <c r="BB41" s="2">
        <f t="shared" si="0"/>
        <v>13950</v>
      </c>
      <c r="BC41" s="15">
        <v>754950</v>
      </c>
    </row>
    <row r="42" ht="15.75" customHeight="1" spans="1:55">
      <c r="A42" s="2" t="s">
        <v>620</v>
      </c>
      <c r="B42" s="3" t="s">
        <v>621</v>
      </c>
      <c r="C42" s="3" t="s">
        <v>65</v>
      </c>
      <c r="D42" s="5" t="s">
        <v>60</v>
      </c>
      <c r="E42" s="4" t="s">
        <v>61</v>
      </c>
      <c r="F42" s="15">
        <v>1.5</v>
      </c>
      <c r="G42" s="14" t="s">
        <v>525</v>
      </c>
      <c r="H42" s="3">
        <v>-48.3</v>
      </c>
      <c r="I42" s="4" t="s">
        <v>335</v>
      </c>
      <c r="J42" s="4" t="s">
        <v>64</v>
      </c>
      <c r="K42" s="5"/>
      <c r="L42" s="3" t="s">
        <v>65</v>
      </c>
      <c r="M42" s="4" t="s">
        <v>66</v>
      </c>
      <c r="N42" s="4" t="s">
        <v>67</v>
      </c>
      <c r="O42" s="4" t="s">
        <v>68</v>
      </c>
      <c r="P42" s="4" t="s">
        <v>92</v>
      </c>
      <c r="Q42" s="3" t="s">
        <v>65</v>
      </c>
      <c r="R42" s="3" t="s">
        <v>65</v>
      </c>
      <c r="S42" s="4" t="s">
        <v>67</v>
      </c>
      <c r="T42" s="4" t="s">
        <v>336</v>
      </c>
      <c r="U42" s="3">
        <v>63.4</v>
      </c>
      <c r="V42" s="3">
        <v>62</v>
      </c>
      <c r="W42" s="4" t="s">
        <v>318</v>
      </c>
      <c r="X42" s="4" t="s">
        <v>319</v>
      </c>
      <c r="Y42" s="4" t="s">
        <v>622</v>
      </c>
      <c r="Z42" s="22">
        <v>1.4</v>
      </c>
      <c r="AA42" s="3">
        <v>5.2</v>
      </c>
      <c r="AB42" s="4" t="s">
        <v>623</v>
      </c>
      <c r="AC42" s="3" t="s">
        <v>65</v>
      </c>
      <c r="AD42" s="3" t="s">
        <v>65</v>
      </c>
      <c r="AE42" s="4" t="s">
        <v>75</v>
      </c>
      <c r="AF42" s="4" t="s">
        <v>75</v>
      </c>
      <c r="AG42" s="4" t="s">
        <v>182</v>
      </c>
      <c r="AH42" s="4" t="s">
        <v>75</v>
      </c>
      <c r="AI42" s="4" t="s">
        <v>321</v>
      </c>
      <c r="AJ42" s="4" t="s">
        <v>76</v>
      </c>
      <c r="AK42" s="5" t="s">
        <v>624</v>
      </c>
      <c r="AL42" s="3" t="s">
        <v>65</v>
      </c>
      <c r="AM42" s="3" t="s">
        <v>65</v>
      </c>
      <c r="AN42" s="3" t="s">
        <v>65</v>
      </c>
      <c r="AO42" s="5" t="s">
        <v>625</v>
      </c>
      <c r="AP42" s="5" t="s">
        <v>626</v>
      </c>
      <c r="AQ42" s="5" t="s">
        <v>627</v>
      </c>
      <c r="AR42" s="5" t="s">
        <v>628</v>
      </c>
      <c r="AS42" s="5" t="s">
        <v>629</v>
      </c>
      <c r="AT42" s="3" t="s">
        <v>65</v>
      </c>
      <c r="AU42" s="3" t="s">
        <v>65</v>
      </c>
      <c r="AV42" s="5" t="s">
        <v>630</v>
      </c>
      <c r="AW42" s="5" t="s">
        <v>631</v>
      </c>
      <c r="AX42" s="3" t="s">
        <v>65</v>
      </c>
      <c r="AY42" s="4" t="s">
        <v>632</v>
      </c>
      <c r="AZ42" s="4" t="s">
        <v>561</v>
      </c>
      <c r="BA42" s="2" t="s">
        <v>161</v>
      </c>
      <c r="BB42" s="2">
        <f t="shared" si="0"/>
        <v>16200</v>
      </c>
      <c r="BC42" s="15">
        <v>757050</v>
      </c>
    </row>
    <row r="43" ht="15.75" customHeight="1" spans="1:55">
      <c r="A43" s="2" t="s">
        <v>633</v>
      </c>
      <c r="B43" s="3" t="s">
        <v>634</v>
      </c>
      <c r="C43" s="3" t="s">
        <v>65</v>
      </c>
      <c r="D43" s="5" t="s">
        <v>60</v>
      </c>
      <c r="E43" s="4" t="s">
        <v>61</v>
      </c>
      <c r="F43" s="15">
        <v>1.5</v>
      </c>
      <c r="G43" s="14" t="s">
        <v>635</v>
      </c>
      <c r="H43" s="3">
        <v>-51.8</v>
      </c>
      <c r="I43" s="4" t="s">
        <v>335</v>
      </c>
      <c r="J43" s="4" t="s">
        <v>64</v>
      </c>
      <c r="K43" s="5"/>
      <c r="L43" s="3" t="s">
        <v>65</v>
      </c>
      <c r="M43" s="4" t="s">
        <v>258</v>
      </c>
      <c r="N43" s="4" t="s">
        <v>67</v>
      </c>
      <c r="O43" s="4" t="s">
        <v>68</v>
      </c>
      <c r="P43" s="4" t="s">
        <v>92</v>
      </c>
      <c r="Q43" s="3" t="s">
        <v>65</v>
      </c>
      <c r="R43" s="3" t="s">
        <v>65</v>
      </c>
      <c r="S43" s="4" t="s">
        <v>67</v>
      </c>
      <c r="T43" s="4" t="s">
        <v>336</v>
      </c>
      <c r="U43" s="3">
        <v>65.1</v>
      </c>
      <c r="V43" s="3">
        <v>56</v>
      </c>
      <c r="W43" s="4" t="s">
        <v>259</v>
      </c>
      <c r="X43" s="4" t="s">
        <v>180</v>
      </c>
      <c r="Y43" s="4" t="s">
        <v>636</v>
      </c>
      <c r="Z43" s="22">
        <v>1.444</v>
      </c>
      <c r="AA43" s="3">
        <v>6.4</v>
      </c>
      <c r="AB43" s="4" t="s">
        <v>623</v>
      </c>
      <c r="AC43" s="3" t="s">
        <v>65</v>
      </c>
      <c r="AD43" s="3" t="s">
        <v>65</v>
      </c>
      <c r="AE43" s="4" t="s">
        <v>75</v>
      </c>
      <c r="AF43" s="4" t="s">
        <v>75</v>
      </c>
      <c r="AG43" s="4" t="s">
        <v>75</v>
      </c>
      <c r="AH43" s="4" t="s">
        <v>107</v>
      </c>
      <c r="AI43" s="4" t="s">
        <v>321</v>
      </c>
      <c r="AJ43" s="4" t="s">
        <v>76</v>
      </c>
      <c r="AK43" s="5" t="s">
        <v>637</v>
      </c>
      <c r="AL43" s="3" t="s">
        <v>65</v>
      </c>
      <c r="AM43" s="3" t="s">
        <v>65</v>
      </c>
      <c r="AN43" s="3" t="s">
        <v>65</v>
      </c>
      <c r="AO43" s="5" t="s">
        <v>638</v>
      </c>
      <c r="AP43" s="5" t="s">
        <v>639</v>
      </c>
      <c r="AQ43" s="5" t="s">
        <v>640</v>
      </c>
      <c r="AR43" s="5" t="s">
        <v>641</v>
      </c>
      <c r="AS43" s="5" t="s">
        <v>642</v>
      </c>
      <c r="AT43" s="3" t="s">
        <v>65</v>
      </c>
      <c r="AU43" s="3" t="s">
        <v>65</v>
      </c>
      <c r="AV43" s="5" t="s">
        <v>643</v>
      </c>
      <c r="AW43" s="5" t="s">
        <v>644</v>
      </c>
      <c r="AX43" s="3" t="s">
        <v>65</v>
      </c>
      <c r="AY43" s="4" t="s">
        <v>645</v>
      </c>
      <c r="AZ43" s="4" t="s">
        <v>561</v>
      </c>
      <c r="BA43" s="2" t="s">
        <v>161</v>
      </c>
      <c r="BB43" s="2">
        <f t="shared" si="0"/>
        <v>16200</v>
      </c>
      <c r="BC43" s="15">
        <v>705900</v>
      </c>
    </row>
    <row r="44" ht="15.75" customHeight="1" spans="1:55">
      <c r="A44" s="2" t="s">
        <v>646</v>
      </c>
      <c r="B44" s="3" t="s">
        <v>647</v>
      </c>
      <c r="C44" s="3" t="s">
        <v>65</v>
      </c>
      <c r="D44" s="5" t="s">
        <v>60</v>
      </c>
      <c r="E44" s="4" t="s">
        <v>61</v>
      </c>
      <c r="F44" s="15">
        <v>1.5</v>
      </c>
      <c r="G44" s="14" t="s">
        <v>648</v>
      </c>
      <c r="H44" s="3">
        <v>-53.1</v>
      </c>
      <c r="I44" s="4" t="s">
        <v>335</v>
      </c>
      <c r="J44" s="4" t="s">
        <v>64</v>
      </c>
      <c r="K44" s="5"/>
      <c r="L44" s="3" t="s">
        <v>65</v>
      </c>
      <c r="M44" s="4" t="s">
        <v>179</v>
      </c>
      <c r="N44" s="4" t="s">
        <v>67</v>
      </c>
      <c r="O44" s="4" t="s">
        <v>68</v>
      </c>
      <c r="P44" s="4" t="s">
        <v>92</v>
      </c>
      <c r="Q44" s="3" t="s">
        <v>65</v>
      </c>
      <c r="R44" s="3" t="s">
        <v>65</v>
      </c>
      <c r="S44" s="4" t="s">
        <v>67</v>
      </c>
      <c r="T44" s="4" t="s">
        <v>336</v>
      </c>
      <c r="U44" s="3">
        <v>65.4</v>
      </c>
      <c r="V44" s="3">
        <v>53</v>
      </c>
      <c r="W44" s="4" t="s">
        <v>72</v>
      </c>
      <c r="X44" s="4" t="s">
        <v>180</v>
      </c>
      <c r="Y44" s="4" t="s">
        <v>649</v>
      </c>
      <c r="Z44" s="22">
        <v>1.371</v>
      </c>
      <c r="AA44" s="3">
        <v>6.3</v>
      </c>
      <c r="AB44" s="4" t="s">
        <v>623</v>
      </c>
      <c r="AC44" s="3" t="s">
        <v>65</v>
      </c>
      <c r="AD44" s="3" t="s">
        <v>65</v>
      </c>
      <c r="AE44" s="4" t="s">
        <v>75</v>
      </c>
      <c r="AF44" s="4" t="s">
        <v>107</v>
      </c>
      <c r="AG44" s="4" t="s">
        <v>182</v>
      </c>
      <c r="AH44" s="4" t="s">
        <v>107</v>
      </c>
      <c r="AI44" s="3" t="s">
        <v>65</v>
      </c>
      <c r="AJ44" s="4" t="s">
        <v>76</v>
      </c>
      <c r="AK44" s="5" t="s">
        <v>650</v>
      </c>
      <c r="AL44" s="3" t="s">
        <v>65</v>
      </c>
      <c r="AM44" s="3" t="s">
        <v>65</v>
      </c>
      <c r="AN44" s="3" t="s">
        <v>65</v>
      </c>
      <c r="AO44" s="5" t="s">
        <v>651</v>
      </c>
      <c r="AP44" s="5" t="s">
        <v>652</v>
      </c>
      <c r="AQ44" s="5" t="s">
        <v>653</v>
      </c>
      <c r="AR44" s="5" t="s">
        <v>654</v>
      </c>
      <c r="AS44" s="5" t="s">
        <v>655</v>
      </c>
      <c r="AT44" s="3" t="s">
        <v>65</v>
      </c>
      <c r="AU44" s="3" t="s">
        <v>65</v>
      </c>
      <c r="AV44" s="5" t="s">
        <v>656</v>
      </c>
      <c r="AW44" s="5" t="s">
        <v>657</v>
      </c>
      <c r="AX44" s="3" t="s">
        <v>65</v>
      </c>
      <c r="AY44" s="4" t="s">
        <v>658</v>
      </c>
      <c r="AZ44" s="4" t="s">
        <v>659</v>
      </c>
      <c r="BA44" s="2" t="s">
        <v>161</v>
      </c>
      <c r="BB44" s="2">
        <f t="shared" si="0"/>
        <v>16200</v>
      </c>
      <c r="BC44" s="15">
        <v>686700</v>
      </c>
    </row>
    <row r="45" ht="15.75" customHeight="1" spans="1:55">
      <c r="A45" s="2" t="s">
        <v>660</v>
      </c>
      <c r="B45" s="3" t="s">
        <v>661</v>
      </c>
      <c r="C45" s="3" t="s">
        <v>65</v>
      </c>
      <c r="D45" s="5" t="s">
        <v>60</v>
      </c>
      <c r="E45" s="4" t="s">
        <v>61</v>
      </c>
      <c r="F45" s="15">
        <v>1.51</v>
      </c>
      <c r="G45" s="14" t="s">
        <v>662</v>
      </c>
      <c r="H45" s="3">
        <v>-51.5</v>
      </c>
      <c r="I45" s="4" t="s">
        <v>335</v>
      </c>
      <c r="J45" s="4" t="s">
        <v>64</v>
      </c>
      <c r="K45" s="5"/>
      <c r="L45" s="3" t="s">
        <v>65</v>
      </c>
      <c r="M45" s="4" t="s">
        <v>179</v>
      </c>
      <c r="N45" s="4" t="s">
        <v>67</v>
      </c>
      <c r="O45" s="4" t="s">
        <v>67</v>
      </c>
      <c r="P45" s="4" t="s">
        <v>92</v>
      </c>
      <c r="Q45" s="3" t="s">
        <v>65</v>
      </c>
      <c r="R45" s="3" t="s">
        <v>65</v>
      </c>
      <c r="S45" s="4" t="s">
        <v>67</v>
      </c>
      <c r="T45" s="4" t="s">
        <v>336</v>
      </c>
      <c r="U45" s="3">
        <v>65.4</v>
      </c>
      <c r="V45" s="3">
        <v>55</v>
      </c>
      <c r="W45" s="4" t="s">
        <v>72</v>
      </c>
      <c r="X45" s="4" t="s">
        <v>319</v>
      </c>
      <c r="Y45" s="4" t="s">
        <v>663</v>
      </c>
      <c r="Z45" s="22">
        <v>1.37</v>
      </c>
      <c r="AA45" s="3">
        <v>6.5</v>
      </c>
      <c r="AB45" s="4" t="s">
        <v>609</v>
      </c>
      <c r="AC45" s="3" t="s">
        <v>65</v>
      </c>
      <c r="AD45" s="3" t="s">
        <v>65</v>
      </c>
      <c r="AE45" s="4" t="s">
        <v>75</v>
      </c>
      <c r="AF45" s="4" t="s">
        <v>75</v>
      </c>
      <c r="AG45" s="4" t="s">
        <v>182</v>
      </c>
      <c r="AH45" s="4" t="s">
        <v>107</v>
      </c>
      <c r="AI45" s="3" t="s">
        <v>65</v>
      </c>
      <c r="AJ45" s="4" t="s">
        <v>76</v>
      </c>
      <c r="AK45" s="5" t="s">
        <v>664</v>
      </c>
      <c r="AL45" s="3" t="s">
        <v>65</v>
      </c>
      <c r="AM45" s="3" t="s">
        <v>65</v>
      </c>
      <c r="AN45" s="3" t="s">
        <v>65</v>
      </c>
      <c r="AO45" s="5" t="s">
        <v>665</v>
      </c>
      <c r="AP45" s="5" t="s">
        <v>666</v>
      </c>
      <c r="AQ45" s="5" t="s">
        <v>667</v>
      </c>
      <c r="AR45" s="5" t="s">
        <v>668</v>
      </c>
      <c r="AS45" s="5" t="s">
        <v>669</v>
      </c>
      <c r="AT45" s="3" t="s">
        <v>65</v>
      </c>
      <c r="AU45" s="3" t="s">
        <v>65</v>
      </c>
      <c r="AV45" s="5" t="s">
        <v>670</v>
      </c>
      <c r="AW45" s="5" t="s">
        <v>671</v>
      </c>
      <c r="AX45" s="3" t="s">
        <v>65</v>
      </c>
      <c r="AY45" s="4" t="s">
        <v>672</v>
      </c>
      <c r="AZ45" s="4" t="s">
        <v>561</v>
      </c>
      <c r="BA45" s="2" t="s">
        <v>161</v>
      </c>
      <c r="BB45" s="2">
        <f t="shared" si="0"/>
        <v>16308</v>
      </c>
      <c r="BC45" s="15">
        <v>714683</v>
      </c>
    </row>
    <row r="46" ht="15.75" customHeight="1" spans="1:55">
      <c r="A46" s="2" t="s">
        <v>673</v>
      </c>
      <c r="B46" s="3" t="s">
        <v>674</v>
      </c>
      <c r="C46" s="3" t="s">
        <v>65</v>
      </c>
      <c r="D46" s="5" t="s">
        <v>60</v>
      </c>
      <c r="E46" s="4" t="s">
        <v>61</v>
      </c>
      <c r="F46" s="15">
        <v>1.51</v>
      </c>
      <c r="G46" s="14" t="s">
        <v>675</v>
      </c>
      <c r="H46" s="3">
        <v>-46.1</v>
      </c>
      <c r="I46" s="4" t="s">
        <v>335</v>
      </c>
      <c r="J46" s="4" t="s">
        <v>105</v>
      </c>
      <c r="K46" s="5"/>
      <c r="L46" s="3" t="s">
        <v>65</v>
      </c>
      <c r="M46" s="4" t="s">
        <v>66</v>
      </c>
      <c r="N46" s="4" t="s">
        <v>67</v>
      </c>
      <c r="O46" s="4" t="s">
        <v>67</v>
      </c>
      <c r="P46" s="4" t="s">
        <v>276</v>
      </c>
      <c r="Q46" s="4" t="s">
        <v>70</v>
      </c>
      <c r="R46" s="3" t="s">
        <v>65</v>
      </c>
      <c r="S46" s="4" t="s">
        <v>67</v>
      </c>
      <c r="T46" s="4" t="s">
        <v>336</v>
      </c>
      <c r="U46" s="3">
        <v>62.9</v>
      </c>
      <c r="V46" s="3">
        <v>60</v>
      </c>
      <c r="W46" s="4" t="s">
        <v>72</v>
      </c>
      <c r="X46" s="4" t="s">
        <v>73</v>
      </c>
      <c r="Y46" s="4" t="s">
        <v>676</v>
      </c>
      <c r="Z46" s="22">
        <v>1.417</v>
      </c>
      <c r="AA46" s="3">
        <v>5.1</v>
      </c>
      <c r="AB46" s="4" t="s">
        <v>609</v>
      </c>
      <c r="AC46" s="3" t="s">
        <v>65</v>
      </c>
      <c r="AD46" s="3" t="s">
        <v>65</v>
      </c>
      <c r="AE46" s="4" t="s">
        <v>75</v>
      </c>
      <c r="AF46" s="4" t="s">
        <v>75</v>
      </c>
      <c r="AG46" s="4" t="s">
        <v>75</v>
      </c>
      <c r="AH46" s="4" t="s">
        <v>75</v>
      </c>
      <c r="AI46" s="3" t="s">
        <v>65</v>
      </c>
      <c r="AJ46" s="4" t="s">
        <v>76</v>
      </c>
      <c r="AK46" s="5" t="s">
        <v>677</v>
      </c>
      <c r="AL46" s="3" t="s">
        <v>65</v>
      </c>
      <c r="AM46" s="3" t="s">
        <v>65</v>
      </c>
      <c r="AN46" s="3" t="s">
        <v>65</v>
      </c>
      <c r="AO46" s="5" t="s">
        <v>678</v>
      </c>
      <c r="AP46" s="5" t="s">
        <v>679</v>
      </c>
      <c r="AQ46" s="5" t="s">
        <v>680</v>
      </c>
      <c r="AR46" s="5" t="s">
        <v>681</v>
      </c>
      <c r="AS46" s="5" t="s">
        <v>682</v>
      </c>
      <c r="AT46" s="5" t="s">
        <v>683</v>
      </c>
      <c r="AU46" s="3" t="s">
        <v>65</v>
      </c>
      <c r="AV46" s="5" t="s">
        <v>684</v>
      </c>
      <c r="AW46" s="5" t="s">
        <v>685</v>
      </c>
      <c r="AX46" s="3" t="s">
        <v>65</v>
      </c>
      <c r="AY46" s="4" t="s">
        <v>86</v>
      </c>
      <c r="AZ46" s="3" t="s">
        <v>65</v>
      </c>
      <c r="BA46" s="2" t="s">
        <v>417</v>
      </c>
      <c r="BB46" s="2">
        <f t="shared" si="0"/>
        <v>15402</v>
      </c>
      <c r="BC46" s="15">
        <v>750470</v>
      </c>
    </row>
    <row r="47" ht="15.75" customHeight="1" spans="1:55">
      <c r="A47" s="2" t="s">
        <v>686</v>
      </c>
      <c r="B47" s="3" t="s">
        <v>687</v>
      </c>
      <c r="C47" s="4" t="s">
        <v>688</v>
      </c>
      <c r="D47" s="5" t="s">
        <v>60</v>
      </c>
      <c r="E47" s="4" t="s">
        <v>61</v>
      </c>
      <c r="F47" s="15">
        <v>1.51</v>
      </c>
      <c r="G47" s="14" t="s">
        <v>689</v>
      </c>
      <c r="H47" s="3">
        <v>-40.4</v>
      </c>
      <c r="I47" s="4" t="s">
        <v>335</v>
      </c>
      <c r="J47" s="4" t="s">
        <v>105</v>
      </c>
      <c r="K47" s="5"/>
      <c r="L47" s="3" t="s">
        <v>65</v>
      </c>
      <c r="M47" s="4" t="s">
        <v>66</v>
      </c>
      <c r="N47" s="4" t="s">
        <v>67</v>
      </c>
      <c r="O47" s="4" t="s">
        <v>68</v>
      </c>
      <c r="P47" s="4" t="s">
        <v>92</v>
      </c>
      <c r="Q47" s="3" t="s">
        <v>65</v>
      </c>
      <c r="R47" s="3" t="s">
        <v>65</v>
      </c>
      <c r="S47" s="4" t="s">
        <v>67</v>
      </c>
      <c r="T47" s="4" t="s">
        <v>336</v>
      </c>
      <c r="U47" s="3">
        <v>64.6</v>
      </c>
      <c r="V47" s="3">
        <v>59</v>
      </c>
      <c r="W47" s="4" t="s">
        <v>242</v>
      </c>
      <c r="X47" s="4" t="s">
        <v>319</v>
      </c>
      <c r="Y47" s="4" t="s">
        <v>690</v>
      </c>
      <c r="Z47" s="22">
        <v>1.467</v>
      </c>
      <c r="AA47" s="3">
        <v>5.2</v>
      </c>
      <c r="AB47" s="4" t="s">
        <v>338</v>
      </c>
      <c r="AC47" s="3" t="s">
        <v>65</v>
      </c>
      <c r="AD47" s="3" t="s">
        <v>65</v>
      </c>
      <c r="AE47" s="4" t="s">
        <v>75</v>
      </c>
      <c r="AF47" s="4" t="s">
        <v>75</v>
      </c>
      <c r="AG47" s="4" t="s">
        <v>182</v>
      </c>
      <c r="AH47" s="4" t="s">
        <v>75</v>
      </c>
      <c r="AI47" s="4" t="s">
        <v>321</v>
      </c>
      <c r="AJ47" s="4" t="s">
        <v>76</v>
      </c>
      <c r="AK47" s="5" t="s">
        <v>691</v>
      </c>
      <c r="AL47" s="3" t="s">
        <v>65</v>
      </c>
      <c r="AM47" s="3" t="s">
        <v>65</v>
      </c>
      <c r="AN47" s="3" t="s">
        <v>65</v>
      </c>
      <c r="AO47" s="5" t="s">
        <v>692</v>
      </c>
      <c r="AP47" s="5" t="s">
        <v>693</v>
      </c>
      <c r="AQ47" s="5" t="s">
        <v>694</v>
      </c>
      <c r="AR47" s="5" t="s">
        <v>695</v>
      </c>
      <c r="AS47" s="5" t="s">
        <v>696</v>
      </c>
      <c r="AT47" s="3" t="s">
        <v>65</v>
      </c>
      <c r="AU47" s="3" t="s">
        <v>65</v>
      </c>
      <c r="AV47" s="5" t="s">
        <v>697</v>
      </c>
      <c r="AW47" s="5" t="s">
        <v>698</v>
      </c>
      <c r="AX47" s="3" t="s">
        <v>65</v>
      </c>
      <c r="AY47" s="4" t="s">
        <v>699</v>
      </c>
      <c r="AZ47" s="3" t="s">
        <v>65</v>
      </c>
      <c r="BA47" s="2" t="s">
        <v>417</v>
      </c>
      <c r="BB47" s="2">
        <f t="shared" si="0"/>
        <v>15402</v>
      </c>
      <c r="BC47" s="15">
        <v>828990</v>
      </c>
    </row>
    <row r="48" ht="15.75" customHeight="1" spans="1:55">
      <c r="A48" s="2" t="s">
        <v>700</v>
      </c>
      <c r="B48" s="3" t="s">
        <v>701</v>
      </c>
      <c r="C48" s="3" t="s">
        <v>65</v>
      </c>
      <c r="D48" s="5" t="s">
        <v>60</v>
      </c>
      <c r="E48" s="4" t="s">
        <v>61</v>
      </c>
      <c r="F48" s="15">
        <v>1.7</v>
      </c>
      <c r="G48" s="14" t="s">
        <v>702</v>
      </c>
      <c r="H48" s="3">
        <v>-36.8</v>
      </c>
      <c r="I48" s="4" t="s">
        <v>335</v>
      </c>
      <c r="J48" s="4" t="s">
        <v>105</v>
      </c>
      <c r="K48" s="5"/>
      <c r="L48" s="3" t="s">
        <v>65</v>
      </c>
      <c r="M48" s="4" t="s">
        <v>66</v>
      </c>
      <c r="N48" s="4" t="s">
        <v>67</v>
      </c>
      <c r="O48" s="4" t="s">
        <v>67</v>
      </c>
      <c r="P48" s="4" t="s">
        <v>92</v>
      </c>
      <c r="Q48" s="3" t="s">
        <v>65</v>
      </c>
      <c r="R48" s="3" t="s">
        <v>65</v>
      </c>
      <c r="S48" s="4" t="s">
        <v>67</v>
      </c>
      <c r="T48" s="4" t="s">
        <v>336</v>
      </c>
      <c r="U48" s="3">
        <v>61.8</v>
      </c>
      <c r="V48" s="3">
        <v>64</v>
      </c>
      <c r="W48" s="4" t="s">
        <v>318</v>
      </c>
      <c r="X48" s="4" t="s">
        <v>180</v>
      </c>
      <c r="Y48" s="4" t="s">
        <v>703</v>
      </c>
      <c r="Z48" s="22">
        <v>1.399</v>
      </c>
      <c r="AA48" s="3">
        <v>4.9</v>
      </c>
      <c r="AB48" s="4" t="s">
        <v>623</v>
      </c>
      <c r="AC48" s="4" t="s">
        <v>354</v>
      </c>
      <c r="AD48" s="4" t="s">
        <v>136</v>
      </c>
      <c r="AE48" s="4" t="s">
        <v>75</v>
      </c>
      <c r="AF48" s="4" t="s">
        <v>75</v>
      </c>
      <c r="AG48" s="4" t="s">
        <v>107</v>
      </c>
      <c r="AH48" s="4" t="s">
        <v>75</v>
      </c>
      <c r="AI48" s="4" t="s">
        <v>261</v>
      </c>
      <c r="AJ48" s="4" t="s">
        <v>76</v>
      </c>
      <c r="AK48" s="5" t="s">
        <v>704</v>
      </c>
      <c r="AL48" s="3" t="s">
        <v>65</v>
      </c>
      <c r="AM48" s="3" t="s">
        <v>65</v>
      </c>
      <c r="AN48" s="3" t="s">
        <v>65</v>
      </c>
      <c r="AO48" s="5" t="s">
        <v>705</v>
      </c>
      <c r="AP48" s="5" t="s">
        <v>706</v>
      </c>
      <c r="AQ48" s="5" t="s">
        <v>707</v>
      </c>
      <c r="AR48" s="5" t="s">
        <v>708</v>
      </c>
      <c r="AS48" s="5" t="s">
        <v>709</v>
      </c>
      <c r="AT48" s="3" t="s">
        <v>65</v>
      </c>
      <c r="AU48" s="3" t="s">
        <v>65</v>
      </c>
      <c r="AV48" s="5" t="s">
        <v>710</v>
      </c>
      <c r="AW48" s="5" t="s">
        <v>711</v>
      </c>
      <c r="AX48" s="3" t="s">
        <v>65</v>
      </c>
      <c r="AY48" s="4" t="s">
        <v>712</v>
      </c>
      <c r="AZ48" s="4" t="s">
        <v>713</v>
      </c>
      <c r="BA48" s="2" t="s">
        <v>417</v>
      </c>
      <c r="BB48" s="2">
        <f t="shared" si="0"/>
        <v>17340</v>
      </c>
      <c r="BC48" s="15">
        <v>990250</v>
      </c>
    </row>
    <row r="49" ht="15.75" customHeight="1" spans="1:55">
      <c r="A49" s="2" t="s">
        <v>714</v>
      </c>
      <c r="B49" s="3" t="s">
        <v>715</v>
      </c>
      <c r="C49" s="3" t="s">
        <v>65</v>
      </c>
      <c r="D49" s="5" t="s">
        <v>60</v>
      </c>
      <c r="E49" s="4" t="s">
        <v>61</v>
      </c>
      <c r="F49" s="15">
        <v>1.51</v>
      </c>
      <c r="G49" s="14" t="s">
        <v>716</v>
      </c>
      <c r="H49" s="3">
        <v>-47.2</v>
      </c>
      <c r="I49" s="4" t="s">
        <v>335</v>
      </c>
      <c r="J49" s="4" t="s">
        <v>105</v>
      </c>
      <c r="K49" s="5"/>
      <c r="L49" s="3" t="s">
        <v>65</v>
      </c>
      <c r="M49" s="4" t="s">
        <v>68</v>
      </c>
      <c r="N49" s="4" t="s">
        <v>67</v>
      </c>
      <c r="O49" s="4" t="s">
        <v>67</v>
      </c>
      <c r="P49" s="4" t="s">
        <v>92</v>
      </c>
      <c r="Q49" s="3" t="s">
        <v>65</v>
      </c>
      <c r="R49" s="3" t="s">
        <v>65</v>
      </c>
      <c r="S49" s="4" t="s">
        <v>67</v>
      </c>
      <c r="T49" s="4" t="s">
        <v>336</v>
      </c>
      <c r="U49" s="3">
        <v>63.9</v>
      </c>
      <c r="V49" s="3">
        <v>64</v>
      </c>
      <c r="W49" s="4" t="s">
        <v>318</v>
      </c>
      <c r="X49" s="4" t="s">
        <v>319</v>
      </c>
      <c r="Y49" s="4" t="s">
        <v>165</v>
      </c>
      <c r="Z49" s="22">
        <v>1.392</v>
      </c>
      <c r="AA49" s="3">
        <v>5.4</v>
      </c>
      <c r="AB49" s="4" t="s">
        <v>623</v>
      </c>
      <c r="AC49" s="3" t="s">
        <v>65</v>
      </c>
      <c r="AD49" s="3" t="s">
        <v>65</v>
      </c>
      <c r="AE49" s="4" t="s">
        <v>75</v>
      </c>
      <c r="AF49" s="4" t="s">
        <v>107</v>
      </c>
      <c r="AG49" s="4" t="s">
        <v>539</v>
      </c>
      <c r="AH49" s="4" t="s">
        <v>182</v>
      </c>
      <c r="AI49" s="4" t="s">
        <v>321</v>
      </c>
      <c r="AJ49" s="4" t="s">
        <v>76</v>
      </c>
      <c r="AK49" s="5" t="s">
        <v>717</v>
      </c>
      <c r="AL49" s="3" t="s">
        <v>65</v>
      </c>
      <c r="AM49" s="3" t="s">
        <v>65</v>
      </c>
      <c r="AN49" s="3" t="s">
        <v>65</v>
      </c>
      <c r="AO49" s="5" t="s">
        <v>718</v>
      </c>
      <c r="AP49" s="5" t="s">
        <v>719</v>
      </c>
      <c r="AQ49" s="5" t="s">
        <v>720</v>
      </c>
      <c r="AR49" s="5" t="s">
        <v>721</v>
      </c>
      <c r="AS49" s="5" t="s">
        <v>722</v>
      </c>
      <c r="AT49" s="3" t="s">
        <v>65</v>
      </c>
      <c r="AU49" s="3" t="s">
        <v>65</v>
      </c>
      <c r="AV49" s="5" t="s">
        <v>723</v>
      </c>
      <c r="AW49" s="5" t="s">
        <v>724</v>
      </c>
      <c r="AX49" s="3" t="s">
        <v>65</v>
      </c>
      <c r="AY49" s="4" t="s">
        <v>725</v>
      </c>
      <c r="AZ49" s="4" t="s">
        <v>348</v>
      </c>
      <c r="BA49" s="2" t="s">
        <v>417</v>
      </c>
      <c r="BB49" s="2">
        <f t="shared" si="0"/>
        <v>15402</v>
      </c>
      <c r="BC49" s="15">
        <v>735370</v>
      </c>
    </row>
    <row r="50" ht="15.75" customHeight="1" spans="1:55">
      <c r="A50" s="2" t="s">
        <v>726</v>
      </c>
      <c r="B50" s="3" t="s">
        <v>727</v>
      </c>
      <c r="C50" s="3" t="s">
        <v>65</v>
      </c>
      <c r="D50" s="5" t="s">
        <v>60</v>
      </c>
      <c r="E50" s="4" t="s">
        <v>61</v>
      </c>
      <c r="F50" s="15">
        <v>1.5</v>
      </c>
      <c r="G50" s="14" t="s">
        <v>728</v>
      </c>
      <c r="H50" s="3">
        <v>-44.8</v>
      </c>
      <c r="I50" s="4" t="s">
        <v>335</v>
      </c>
      <c r="J50" s="4" t="s">
        <v>105</v>
      </c>
      <c r="K50" s="5"/>
      <c r="L50" s="3" t="s">
        <v>65</v>
      </c>
      <c r="M50" s="4" t="s">
        <v>68</v>
      </c>
      <c r="N50" s="4" t="s">
        <v>67</v>
      </c>
      <c r="O50" s="4" t="s">
        <v>67</v>
      </c>
      <c r="P50" s="4" t="s">
        <v>92</v>
      </c>
      <c r="Q50" s="3" t="s">
        <v>65</v>
      </c>
      <c r="R50" s="3" t="s">
        <v>65</v>
      </c>
      <c r="S50" s="4" t="s">
        <v>67</v>
      </c>
      <c r="T50" s="4" t="s">
        <v>336</v>
      </c>
      <c r="U50" s="3">
        <v>63.9</v>
      </c>
      <c r="V50" s="3">
        <v>60</v>
      </c>
      <c r="W50" s="4" t="s">
        <v>259</v>
      </c>
      <c r="X50" s="4" t="s">
        <v>73</v>
      </c>
      <c r="Y50" s="4" t="s">
        <v>729</v>
      </c>
      <c r="Z50" s="22">
        <v>1.39</v>
      </c>
      <c r="AA50" s="3">
        <v>5.2</v>
      </c>
      <c r="AB50" s="4" t="s">
        <v>623</v>
      </c>
      <c r="AC50" s="3" t="s">
        <v>65</v>
      </c>
      <c r="AD50" s="3" t="s">
        <v>65</v>
      </c>
      <c r="AE50" s="4" t="s">
        <v>75</v>
      </c>
      <c r="AF50" s="4" t="s">
        <v>75</v>
      </c>
      <c r="AG50" s="4" t="s">
        <v>107</v>
      </c>
      <c r="AH50" s="4" t="s">
        <v>75</v>
      </c>
      <c r="AI50" s="4" t="s">
        <v>71</v>
      </c>
      <c r="AJ50" s="4" t="s">
        <v>76</v>
      </c>
      <c r="AK50" s="5" t="s">
        <v>730</v>
      </c>
      <c r="AL50" s="3" t="s">
        <v>65</v>
      </c>
      <c r="AM50" s="3" t="s">
        <v>65</v>
      </c>
      <c r="AN50" s="3" t="s">
        <v>65</v>
      </c>
      <c r="AO50" s="5" t="s">
        <v>731</v>
      </c>
      <c r="AP50" s="5" t="s">
        <v>732</v>
      </c>
      <c r="AQ50" s="5" t="s">
        <v>733</v>
      </c>
      <c r="AR50" s="5" t="s">
        <v>734</v>
      </c>
      <c r="AS50" s="5" t="s">
        <v>735</v>
      </c>
      <c r="AT50" s="3" t="s">
        <v>65</v>
      </c>
      <c r="AU50" s="3" t="s">
        <v>65</v>
      </c>
      <c r="AV50" s="5" t="s">
        <v>736</v>
      </c>
      <c r="AW50" s="5" t="s">
        <v>737</v>
      </c>
      <c r="AX50" s="3" t="s">
        <v>65</v>
      </c>
      <c r="AY50" s="4" t="s">
        <v>738</v>
      </c>
      <c r="AZ50" s="4" t="s">
        <v>348</v>
      </c>
      <c r="BA50" s="2" t="s">
        <v>417</v>
      </c>
      <c r="BB50" s="2">
        <f t="shared" si="0"/>
        <v>15300</v>
      </c>
      <c r="BC50" s="15">
        <v>763200</v>
      </c>
    </row>
    <row r="51" ht="15.75" customHeight="1" spans="1:55">
      <c r="A51" s="2" t="s">
        <v>739</v>
      </c>
      <c r="B51" s="3" t="s">
        <v>740</v>
      </c>
      <c r="C51" s="3" t="s">
        <v>65</v>
      </c>
      <c r="D51" s="5" t="s">
        <v>60</v>
      </c>
      <c r="E51" s="4" t="s">
        <v>61</v>
      </c>
      <c r="F51" s="15">
        <v>1.51</v>
      </c>
      <c r="G51" s="14" t="s">
        <v>741</v>
      </c>
      <c r="H51" s="3">
        <v>-42.1</v>
      </c>
      <c r="I51" s="4" t="s">
        <v>335</v>
      </c>
      <c r="J51" s="4" t="s">
        <v>196</v>
      </c>
      <c r="K51" s="5"/>
      <c r="L51" s="3" t="s">
        <v>65</v>
      </c>
      <c r="M51" s="4" t="s">
        <v>68</v>
      </c>
      <c r="N51" s="4" t="s">
        <v>67</v>
      </c>
      <c r="O51" s="4" t="s">
        <v>67</v>
      </c>
      <c r="P51" s="4" t="s">
        <v>92</v>
      </c>
      <c r="Q51" s="3" t="s">
        <v>65</v>
      </c>
      <c r="R51" s="3" t="s">
        <v>65</v>
      </c>
      <c r="S51" s="4" t="s">
        <v>67</v>
      </c>
      <c r="T51" s="4" t="s">
        <v>336</v>
      </c>
      <c r="U51" s="3">
        <v>63.9</v>
      </c>
      <c r="V51" s="3">
        <v>61</v>
      </c>
      <c r="W51" s="4" t="s">
        <v>318</v>
      </c>
      <c r="X51" s="4" t="s">
        <v>180</v>
      </c>
      <c r="Y51" s="4" t="s">
        <v>742</v>
      </c>
      <c r="Z51" s="22">
        <v>1.39</v>
      </c>
      <c r="AA51" s="3">
        <v>4.8</v>
      </c>
      <c r="AB51" s="4" t="s">
        <v>338</v>
      </c>
      <c r="AC51" s="3" t="s">
        <v>65</v>
      </c>
      <c r="AD51" s="3" t="s">
        <v>65</v>
      </c>
      <c r="AE51" s="4" t="s">
        <v>75</v>
      </c>
      <c r="AF51" s="4" t="s">
        <v>107</v>
      </c>
      <c r="AG51" s="4" t="s">
        <v>107</v>
      </c>
      <c r="AH51" s="4" t="s">
        <v>107</v>
      </c>
      <c r="AI51" s="4" t="s">
        <v>321</v>
      </c>
      <c r="AJ51" s="4" t="s">
        <v>76</v>
      </c>
      <c r="AK51" s="5" t="s">
        <v>743</v>
      </c>
      <c r="AL51" s="3" t="s">
        <v>65</v>
      </c>
      <c r="AM51" s="3" t="s">
        <v>65</v>
      </c>
      <c r="AN51" s="3" t="s">
        <v>65</v>
      </c>
      <c r="AO51" s="5" t="s">
        <v>744</v>
      </c>
      <c r="AP51" s="5" t="s">
        <v>745</v>
      </c>
      <c r="AQ51" s="5" t="s">
        <v>746</v>
      </c>
      <c r="AR51" s="5" t="s">
        <v>747</v>
      </c>
      <c r="AS51" s="5" t="s">
        <v>748</v>
      </c>
      <c r="AT51" s="3" t="s">
        <v>65</v>
      </c>
      <c r="AU51" s="3" t="s">
        <v>65</v>
      </c>
      <c r="AV51" s="5" t="s">
        <v>749</v>
      </c>
      <c r="AW51" s="5" t="s">
        <v>750</v>
      </c>
      <c r="AX51" s="3" t="s">
        <v>65</v>
      </c>
      <c r="AY51" s="4" t="s">
        <v>751</v>
      </c>
      <c r="AZ51" s="3" t="s">
        <v>65</v>
      </c>
      <c r="BA51" s="2" t="s">
        <v>562</v>
      </c>
      <c r="BB51" s="2">
        <f t="shared" si="0"/>
        <v>14043</v>
      </c>
      <c r="BC51" s="15">
        <v>734011</v>
      </c>
    </row>
    <row r="52" ht="15.75" customHeight="1" spans="1:55">
      <c r="A52" s="2" t="s">
        <v>752</v>
      </c>
      <c r="B52" s="3" t="s">
        <v>753</v>
      </c>
      <c r="C52" s="3" t="s">
        <v>65</v>
      </c>
      <c r="D52" s="5" t="s">
        <v>60</v>
      </c>
      <c r="E52" s="4" t="s">
        <v>61</v>
      </c>
      <c r="F52" s="15">
        <v>1.8</v>
      </c>
      <c r="G52" s="14" t="s">
        <v>754</v>
      </c>
      <c r="H52" s="3">
        <v>-30.8</v>
      </c>
      <c r="I52" s="4" t="s">
        <v>335</v>
      </c>
      <c r="J52" s="4" t="s">
        <v>105</v>
      </c>
      <c r="K52" s="5"/>
      <c r="L52" s="3" t="s">
        <v>65</v>
      </c>
      <c r="M52" s="4" t="s">
        <v>68</v>
      </c>
      <c r="N52" s="4" t="s">
        <v>67</v>
      </c>
      <c r="O52" s="4" t="s">
        <v>67</v>
      </c>
      <c r="P52" s="4" t="s">
        <v>92</v>
      </c>
      <c r="Q52" s="3" t="s">
        <v>65</v>
      </c>
      <c r="R52" s="3" t="s">
        <v>65</v>
      </c>
      <c r="S52" s="4" t="s">
        <v>67</v>
      </c>
      <c r="T52" s="4" t="s">
        <v>336</v>
      </c>
      <c r="U52" s="3">
        <v>63.9</v>
      </c>
      <c r="V52" s="3">
        <v>60</v>
      </c>
      <c r="W52" s="4" t="s">
        <v>318</v>
      </c>
      <c r="X52" s="4" t="s">
        <v>319</v>
      </c>
      <c r="Y52" s="4" t="s">
        <v>755</v>
      </c>
      <c r="Z52" s="22">
        <v>1.395</v>
      </c>
      <c r="AA52" s="3">
        <v>5.3</v>
      </c>
      <c r="AB52" s="4" t="s">
        <v>609</v>
      </c>
      <c r="AC52" s="3" t="s">
        <v>65</v>
      </c>
      <c r="AD52" s="3" t="s">
        <v>65</v>
      </c>
      <c r="AE52" s="4" t="s">
        <v>75</v>
      </c>
      <c r="AF52" s="4" t="s">
        <v>75</v>
      </c>
      <c r="AG52" s="4" t="s">
        <v>75</v>
      </c>
      <c r="AH52" s="4" t="s">
        <v>75</v>
      </c>
      <c r="AI52" s="4" t="s">
        <v>321</v>
      </c>
      <c r="AJ52" s="4" t="s">
        <v>76</v>
      </c>
      <c r="AK52" s="5" t="s">
        <v>756</v>
      </c>
      <c r="AL52" s="3" t="s">
        <v>65</v>
      </c>
      <c r="AM52" s="3" t="s">
        <v>65</v>
      </c>
      <c r="AN52" s="3" t="s">
        <v>65</v>
      </c>
      <c r="AO52" s="5" t="s">
        <v>757</v>
      </c>
      <c r="AP52" s="5" t="s">
        <v>758</v>
      </c>
      <c r="AQ52" s="5" t="s">
        <v>759</v>
      </c>
      <c r="AR52" s="5" t="s">
        <v>760</v>
      </c>
      <c r="AS52" s="5" t="s">
        <v>761</v>
      </c>
      <c r="AT52" s="3" t="s">
        <v>65</v>
      </c>
      <c r="AU52" s="3" t="s">
        <v>65</v>
      </c>
      <c r="AV52" s="5" t="s">
        <v>762</v>
      </c>
      <c r="AW52" s="5" t="s">
        <v>763</v>
      </c>
      <c r="AX52" s="3" t="s">
        <v>65</v>
      </c>
      <c r="AY52" s="4" t="s">
        <v>764</v>
      </c>
      <c r="AZ52" s="4" t="s">
        <v>765</v>
      </c>
      <c r="BA52" s="2" t="s">
        <v>417</v>
      </c>
      <c r="BB52" s="2">
        <f t="shared" si="0"/>
        <v>18360</v>
      </c>
      <c r="BC52" s="15">
        <v>1148580</v>
      </c>
    </row>
    <row r="53" ht="15.75" customHeight="1" spans="1:55">
      <c r="A53" s="6" t="s">
        <v>766</v>
      </c>
      <c r="B53" s="7" t="s">
        <v>767</v>
      </c>
      <c r="C53" s="8" t="s">
        <v>90</v>
      </c>
      <c r="D53" s="9" t="s">
        <v>60</v>
      </c>
      <c r="E53" s="8" t="s">
        <v>61</v>
      </c>
      <c r="F53" s="16">
        <v>1.51</v>
      </c>
      <c r="G53" s="17" t="s">
        <v>65</v>
      </c>
      <c r="H53" s="7" t="s">
        <v>65</v>
      </c>
      <c r="I53" s="8" t="s">
        <v>335</v>
      </c>
      <c r="J53" s="8" t="s">
        <v>105</v>
      </c>
      <c r="K53" s="9"/>
      <c r="L53" s="7" t="s">
        <v>65</v>
      </c>
      <c r="M53" s="8" t="s">
        <v>258</v>
      </c>
      <c r="N53" s="8" t="s">
        <v>67</v>
      </c>
      <c r="O53" s="8" t="s">
        <v>68</v>
      </c>
      <c r="P53" s="8" t="s">
        <v>92</v>
      </c>
      <c r="Q53" s="7" t="s">
        <v>65</v>
      </c>
      <c r="R53" s="7" t="s">
        <v>65</v>
      </c>
      <c r="S53" s="8" t="s">
        <v>67</v>
      </c>
      <c r="T53" s="8" t="s">
        <v>336</v>
      </c>
      <c r="U53" s="7">
        <v>64.9</v>
      </c>
      <c r="V53" s="7">
        <v>54</v>
      </c>
      <c r="W53" s="8" t="s">
        <v>259</v>
      </c>
      <c r="X53" s="8" t="s">
        <v>352</v>
      </c>
      <c r="Y53" s="8" t="s">
        <v>768</v>
      </c>
      <c r="Z53" s="22">
        <v>1.38</v>
      </c>
      <c r="AA53" s="7">
        <v>6.2</v>
      </c>
      <c r="AB53" s="8" t="s">
        <v>623</v>
      </c>
      <c r="AC53" s="7" t="s">
        <v>65</v>
      </c>
      <c r="AD53" s="7" t="s">
        <v>65</v>
      </c>
      <c r="AE53" s="8" t="s">
        <v>75</v>
      </c>
      <c r="AF53" s="8" t="s">
        <v>75</v>
      </c>
      <c r="AG53" s="8" t="s">
        <v>75</v>
      </c>
      <c r="AH53" s="8" t="s">
        <v>75</v>
      </c>
      <c r="AI53" s="8" t="s">
        <v>321</v>
      </c>
      <c r="AJ53" s="8" t="s">
        <v>76</v>
      </c>
      <c r="AK53" s="9" t="s">
        <v>769</v>
      </c>
      <c r="AL53" s="7" t="s">
        <v>65</v>
      </c>
      <c r="AM53" s="7" t="s">
        <v>65</v>
      </c>
      <c r="AN53" s="7" t="s">
        <v>65</v>
      </c>
      <c r="AO53" s="9" t="s">
        <v>770</v>
      </c>
      <c r="AP53" s="9" t="s">
        <v>771</v>
      </c>
      <c r="AQ53" s="9" t="s">
        <v>772</v>
      </c>
      <c r="AR53" s="9" t="s">
        <v>773</v>
      </c>
      <c r="AS53" s="9" t="s">
        <v>774</v>
      </c>
      <c r="AT53" s="7" t="s">
        <v>65</v>
      </c>
      <c r="AU53" s="7" t="s">
        <v>65</v>
      </c>
      <c r="AV53" s="9" t="s">
        <v>775</v>
      </c>
      <c r="AW53" s="9" t="s">
        <v>776</v>
      </c>
      <c r="AX53" s="7" t="s">
        <v>65</v>
      </c>
      <c r="AY53" s="8" t="s">
        <v>777</v>
      </c>
      <c r="AZ53" s="8" t="s">
        <v>348</v>
      </c>
      <c r="BA53" s="7"/>
      <c r="BB53" s="6" t="str">
        <f t="shared" si="0"/>
        <v/>
      </c>
      <c r="BC53" s="16"/>
    </row>
    <row r="54" ht="15.75" customHeight="1" spans="1:55">
      <c r="A54" t="s">
        <v>65</v>
      </c>
      <c r="B54" s="10" t="s">
        <v>778</v>
      </c>
      <c r="C54" s="11" t="s">
        <v>90</v>
      </c>
      <c r="D54" s="12" t="s">
        <v>60</v>
      </c>
      <c r="E54" s="11" t="s">
        <v>61</v>
      </c>
      <c r="F54" s="18">
        <v>1.5</v>
      </c>
      <c r="G54" s="19" t="s">
        <v>779</v>
      </c>
      <c r="H54" s="10">
        <v>-48.8</v>
      </c>
      <c r="I54" s="11" t="s">
        <v>607</v>
      </c>
      <c r="J54" s="11" t="s">
        <v>105</v>
      </c>
      <c r="K54" s="12"/>
      <c r="L54" s="10" t="s">
        <v>65</v>
      </c>
      <c r="M54" s="11" t="s">
        <v>179</v>
      </c>
      <c r="N54" s="11" t="s">
        <v>67</v>
      </c>
      <c r="O54" s="11" t="s">
        <v>67</v>
      </c>
      <c r="P54" s="11" t="s">
        <v>92</v>
      </c>
      <c r="Q54" s="10" t="s">
        <v>65</v>
      </c>
      <c r="R54" s="10" t="s">
        <v>65</v>
      </c>
      <c r="S54" s="11" t="s">
        <v>67</v>
      </c>
      <c r="T54" s="11" t="s">
        <v>336</v>
      </c>
      <c r="U54" s="10">
        <v>64.9</v>
      </c>
      <c r="V54" s="10">
        <v>54</v>
      </c>
      <c r="W54" s="11" t="s">
        <v>259</v>
      </c>
      <c r="X54" s="11" t="s">
        <v>352</v>
      </c>
      <c r="Y54" s="11" t="s">
        <v>780</v>
      </c>
      <c r="Z54" s="22">
        <v>1.371</v>
      </c>
      <c r="AA54" s="10">
        <v>6.2</v>
      </c>
      <c r="AB54" s="11" t="s">
        <v>623</v>
      </c>
      <c r="AC54" s="10" t="s">
        <v>65</v>
      </c>
      <c r="AD54" s="10" t="s">
        <v>65</v>
      </c>
      <c r="AE54" s="11" t="s">
        <v>75</v>
      </c>
      <c r="AF54" s="11" t="s">
        <v>75</v>
      </c>
      <c r="AG54" s="11" t="s">
        <v>75</v>
      </c>
      <c r="AH54" s="11" t="s">
        <v>75</v>
      </c>
      <c r="AI54" s="11" t="s">
        <v>321</v>
      </c>
      <c r="AJ54" s="11" t="s">
        <v>76</v>
      </c>
      <c r="AK54" s="12" t="s">
        <v>781</v>
      </c>
      <c r="AL54" s="10" t="s">
        <v>65</v>
      </c>
      <c r="AM54" s="10" t="s">
        <v>65</v>
      </c>
      <c r="AN54" s="10" t="s">
        <v>65</v>
      </c>
      <c r="AO54" s="12" t="s">
        <v>782</v>
      </c>
      <c r="AP54" s="12" t="s">
        <v>783</v>
      </c>
      <c r="AQ54" s="12" t="s">
        <v>784</v>
      </c>
      <c r="AR54" s="12" t="s">
        <v>785</v>
      </c>
      <c r="AS54" s="12" t="s">
        <v>786</v>
      </c>
      <c r="AT54" s="10" t="s">
        <v>65</v>
      </c>
      <c r="AU54" s="10" t="s">
        <v>65</v>
      </c>
      <c r="AV54" s="12" t="s">
        <v>787</v>
      </c>
      <c r="AW54" s="12" t="s">
        <v>788</v>
      </c>
      <c r="AX54" s="10" t="s">
        <v>65</v>
      </c>
      <c r="AY54" s="11" t="s">
        <v>560</v>
      </c>
      <c r="AZ54" s="11" t="s">
        <v>301</v>
      </c>
      <c r="BA54" s="10"/>
      <c r="BB54" s="23" t="str">
        <f t="shared" si="0"/>
        <v/>
      </c>
      <c r="BC54" s="18">
        <v>1321686</v>
      </c>
    </row>
    <row r="55" ht="15.75" customHeight="1" spans="1: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</row>
    <row r="56" ht="15.75" customHeight="1" spans="2:11">
      <c r="B56" s="13" t="s">
        <v>789</v>
      </c>
      <c r="F56" s="20">
        <v>78.77</v>
      </c>
      <c r="K56" s="20">
        <f>IF(ISERROR(((SUM(BC4:BC55)))),"N.A",((SUM(BC4:BC55))))</f>
        <v>39690887</v>
      </c>
    </row>
    <row r="57" ht="15.75" customHeight="1" spans="2:11">
      <c r="B57" s="4" t="s">
        <v>790</v>
      </c>
      <c r="F57" s="21">
        <f>IF(ISERROR((ROUND(AVERAGE(78.77/51),2))),"N.A",(ROUND(AVERAGE(78.77/51),2)))</f>
        <v>1.54</v>
      </c>
      <c r="G57" s="21">
        <f>IF(ISERROR((ROUND(AVERAGE(25214700/51),2))),"N.A",(ROUND(AVERAGE(25214700/51),2)))</f>
        <v>494405.88</v>
      </c>
      <c r="H57" s="21">
        <f>IF(ISERROR((TRUNC((((SUMIF(BB4:BB54,"&gt;0",BC4:BC54))/(SUM(BB4:BB54)*90.34))*100)-100,2))),"N.A",(TRUNC((((SUMIF(BB4:BB54,"&gt;0",BC4:BC54))/(SUM(BB4:BB54)*90.34))*100)-100,2)))</f>
        <v>-47.94</v>
      </c>
      <c r="K57" s="21">
        <f>IF(ISERROR((TRUNC(AVERAGE(BC4:BC54)))),"N.A",(TRUNC(AVERAGE(BC4:BC54))))</f>
        <v>793817</v>
      </c>
    </row>
    <row r="58" ht="15.75" customHeight="1" spans="1:5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</row>
    <row r="59" ht="15.75" customHeight="1" spans="1:1">
      <c r="A59" t="s">
        <v>791</v>
      </c>
    </row>
    <row r="60" ht="15.75" customHeight="1" spans="1:1">
      <c r="A60" t="s">
        <v>792</v>
      </c>
    </row>
    <row r="61" ht="15.75" customHeight="1" spans="1:1">
      <c r="A61" t="s">
        <v>793</v>
      </c>
    </row>
    <row r="62" ht="15.75" customHeight="1" spans="1:1">
      <c r="A62" t="s">
        <v>794</v>
      </c>
    </row>
    <row r="63" ht="15.75" customHeight="1" spans="1:1">
      <c r="A63" t="s">
        <v>795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E1"/>
    <mergeCell ref="G1:I1"/>
    <mergeCell ref="A59:U59"/>
    <mergeCell ref="A60:U60"/>
    <mergeCell ref="A61:U61"/>
    <mergeCell ref="A62:U62"/>
    <mergeCell ref="A63:U63"/>
  </mergeCells>
  <hyperlinks>
    <hyperlink ref="D4" r:id="rId1" display="GIA"/>
    <hyperlink ref="AK4" r:id="rId2" display="https://d1g2oudknjs8jf.cloudfront.net/prodpolweb/imgfiles/l1ib11ohi042.JPG?MTA3OTY="/>
    <hyperlink ref="AO4" r:id="rId3" display="https://d1s5m21q2l18ke.cloudfront.net/VISION360/Vision360.html?d=l1ib11ohi042&amp;surl=https://d1s5m21q2l18ke.cloudfront.net/v360_mov_white/&amp;sv=1&amp;displayAllSideview=1&amp;MTA3OTY="/>
    <hyperlink ref="AP4" r:id="rId4" display="https://d1s5m21q2l18ke.cloudfront.net/VISION360/Vision360.html?d=l1ib11ohi042&amp;surl=https://d1s5m21q2l18ke.cloudfront.net/v360_mov_black/&amp;sv=1&amp;displayAllSideview=1&amp;MTA3OTY="/>
    <hyperlink ref="AQ4" r:id="rId5" display="https://d1s5m21q2l18ke.cloudfront.net/v360_mov/l1ib11ohi042.HTML?sv=1&amp;displayAllSideview=1&amp;MTA3OTY="/>
    <hyperlink ref="AR4" r:id="rId6" display="https://d1s5m21q2l18ke.cloudfront.net/white_mov_video/l1ib11ohi042.MP4?MTA3OTY="/>
    <hyperlink ref="AS4" r:id="rId7" display="https://d1s5m21q2l18ke.cloudfront.net/plotting.html?l1ib11ohi042"/>
    <hyperlink ref="AT4" r:id="rId8" display="https://d1g2oudknjs8jf.cloudfront.net/prodpolweb/fl_img/l1ib11ohi042.PNG?MTA3OTY="/>
    <hyperlink ref="AV4" r:id="rId9" display="https://dyffw9lb8wur6.cloudfront.net/v360videos/l1ib11ohi042.MP4?MTA3OTY="/>
    <hyperlink ref="AW4" r:id="rId10" display="https://d1g2oudknjs8jf.cloudfront.net/prodpolweb/asetimage/l1ib11ohi042.JPG?MTA3OTY="/>
    <hyperlink ref="D5" r:id="rId11" display="GIA"/>
    <hyperlink ref="AK5" r:id="rId12" display="https://d1g2oudknjs8jf.cloudfront.net/prodpolweb/imgg_file/h1db5skj23.JPG?MTA3OTY="/>
    <hyperlink ref="AO5" r:id="rId13" display="https://d1s5m21q2l18ke.cloudfront.net/VISION360/Vision360.html?d=h1db5skj23&amp;surl=https://d1s5m21q2l18ke.cloudfront.net/v360_mov_grey/&amp;sv=1&amp;displayAllSideview=1&amp;MTA3OTY="/>
    <hyperlink ref="AP5" r:id="rId14" display="https://d1s5m21q2l18ke.cloudfront.net/VISION360/Vision360.html?d=h1db5skj23&amp;surl=https://d1s5m21q2l18ke.cloudfront.net/v360_mov_black/&amp;sv=1&amp;displayAllSideview=1&amp;MTA3OTY="/>
    <hyperlink ref="AQ5" r:id="rId15" display="https://d1s5m21q2l18ke.cloudfront.net/v360_mov/h1db5skj23.HTML?sv=1&amp;displayAllSideview=1&amp;MTA3OTY="/>
    <hyperlink ref="AR5" r:id="rId16" display="https://d1s5m21q2l18ke.cloudfront.net/grey_mov_video/h1db5skj23.MP4?MTA3OTY="/>
    <hyperlink ref="AS5" r:id="rId17" display="https://d1s5m21q2l18ke.cloudfront.net/plotting.html?h1db5skj23"/>
    <hyperlink ref="AV5" r:id="rId18" display="https://dyffw9lb8wur6.cloudfront.net/v360videos/h1db5skj23.MP4?MTA3OTY="/>
    <hyperlink ref="AW5" r:id="rId19" display="https://d1g2oudknjs8jf.cloudfront.net/prodpolweb/asetimage/h1db5skj23.JPG?MTA3OTY="/>
    <hyperlink ref="D6" r:id="rId20" display="GIA"/>
    <hyperlink ref="AK6" r:id="rId21" display="https://d1g2oudknjs8jf.cloudfront.net/prodpolweb/imgg_file/l5db3qjj27.JPG?MTA3OTY="/>
    <hyperlink ref="AO6" r:id="rId22" display="https://d1s5m21q2l18ke.cloudfront.net/VISION360/Vision360.html?d=l5db3qjj27&amp;surl=https://d1s5m21q2l18ke.cloudfront.net/v360_mov_grey/&amp;sv=1&amp;displayAllSideview=1&amp;MTA3OTY="/>
    <hyperlink ref="AP6" r:id="rId23" display="https://d1s5m21q2l18ke.cloudfront.net/VISION360/Vision360.html?d=l5db3qjj27&amp;surl=https://d1s5m21q2l18ke.cloudfront.net/v360_mov_black/&amp;sv=1&amp;displayAllSideview=1&amp;MTA3OTY="/>
    <hyperlink ref="AQ6" r:id="rId24" display="https://d1s5m21q2l18ke.cloudfront.net/v360_mov/l5db3qjj27.HTML?sv=1&amp;displayAllSideview=1&amp;MTA3OTY="/>
    <hyperlink ref="AR6" r:id="rId25" display="https://d1s5m21q2l18ke.cloudfront.net/grey_mov_video/l5db3qjj27.MP4?MTA3OTY="/>
    <hyperlink ref="AS6" r:id="rId26" display="https://d1s5m21q2l18ke.cloudfront.net/plotting.html?l5db3qjj27"/>
    <hyperlink ref="AV6" r:id="rId27" display="https://dyffw9lb8wur6.cloudfront.net/v360videos/l5db3qjj27.MP4?MTA3OTY="/>
    <hyperlink ref="AW6" r:id="rId28" display="https://d1g2oudknjs8jf.cloudfront.net/prodpolweb/asetimage/l5db3qjj27.JPG?MTA3OTY="/>
    <hyperlink ref="D7" r:id="rId29" display="GIA"/>
    <hyperlink ref="AK7" r:id="rId30" display="https://d1g2oudknjs8jf.cloudfront.net/prodpolweb/imgg_file/h7cc5pkj20.JPG?MTA3OTY="/>
    <hyperlink ref="AO7" r:id="rId31" display="https://d1s5m21q2l18ke.cloudfront.net/VISION360/Vision360.html?d=h7cc5pkj20&amp;surl=https://d1s5m21q2l18ke.cloudfront.net/v360_mov_grey/&amp;sv=1&amp;displayAllSideview=1&amp;MTA3OTY="/>
    <hyperlink ref="AP7" r:id="rId32" display="https://d1s5m21q2l18ke.cloudfront.net/VISION360/Vision360.html?d=h7cc5pkj20&amp;surl=https://d1s5m21q2l18ke.cloudfront.net/v360_mov_black/&amp;sv=1&amp;displayAllSideview=1&amp;MTA3OTY="/>
    <hyperlink ref="AQ7" r:id="rId33" display="https://d1s5m21q2l18ke.cloudfront.net/v360_mov/h7cc5pkj20.HTML?sv=1&amp;displayAllSideview=1&amp;MTA3OTY="/>
    <hyperlink ref="AR7" r:id="rId34" display="https://d1s5m21q2l18ke.cloudfront.net/grey_mov_video/h7cc5pkj20.MP4?MTA3OTY="/>
    <hyperlink ref="AS7" r:id="rId35" display="https://d1s5m21q2l18ke.cloudfront.net/plotting.html?h7cc5pkj20"/>
    <hyperlink ref="AV7" r:id="rId36" display="https://dyffw9lb8wur6.cloudfront.net/v360videos/h7cc5pkj20.MP4?MTA3OTY="/>
    <hyperlink ref="AW7" r:id="rId37" display="https://d1g2oudknjs8jf.cloudfront.net/prodpolweb/asetimage/h7cc5pkj20.JPG?MTA3OTY="/>
    <hyperlink ref="D8" r:id="rId38" display="GIA"/>
    <hyperlink ref="AK8" r:id="rId39" display="https://d1g2oudknjs8jf.cloudfront.net/prodpolweb/imgg_file/j10cb9koi20.JPG?MTA3OTY="/>
    <hyperlink ref="AO8" r:id="rId40" display="https://d1s5m21q2l18ke.cloudfront.net/VISION360/Vision360.html?d=j10cb9koi20&amp;surl=https://d1s5m21q2l18ke.cloudfront.net/v360_mov_grey/&amp;sv=1&amp;displayAllSideview=1&amp;MTA3OTY="/>
    <hyperlink ref="AP8" r:id="rId41" display="https://d1s5m21q2l18ke.cloudfront.net/VISION360/Vision360.html?d=j10cb9koi20&amp;surl=https://d1s5m21q2l18ke.cloudfront.net/v360_mov_black/&amp;sv=1&amp;displayAllSideview=1&amp;MTA3OTY="/>
    <hyperlink ref="AQ8" r:id="rId42" display="https://d1s5m21q2l18ke.cloudfront.net/v360_mov/j10cb9koi20.HTML?sv=1&amp;displayAllSideview=1&amp;MTA3OTY="/>
    <hyperlink ref="AR8" r:id="rId43" display="https://d1s5m21q2l18ke.cloudfront.net/grey_mov_video/j10cb9koi20.MP4?MTA3OTY="/>
    <hyperlink ref="AS8" r:id="rId44" display="https://d1s5m21q2l18ke.cloudfront.net/plotting.html?j10cb9koi20"/>
    <hyperlink ref="AT8" r:id="rId45" display="https://d1g2oudknjs8jf.cloudfront.net/prodpolweb/fl_img/j10cb9koi20.JPG?MTA3OTY="/>
    <hyperlink ref="AV8" r:id="rId46" display="https://dyffw9lb8wur6.cloudfront.net/v360videos/j10cb9koi20.MP4?MTA3OTY="/>
    <hyperlink ref="AW8" r:id="rId47" display="https://d1g2oudknjs8jf.cloudfront.net/prodpolweb/asetimage/j10cb9koi20.JPG?MTA3OTY="/>
    <hyperlink ref="D9" r:id="rId48" display="GIA"/>
    <hyperlink ref="AK9" r:id="rId49" display="https://d1g2oudknjs8jf.cloudfront.net/prodpolweb/imgg_file/l2ed3njj214.JPG?MTA3OTY="/>
    <hyperlink ref="AO9" r:id="rId50" display="https://d1s5m21q2l18ke.cloudfront.net/VISION360/Vision360.html?d=l2ed3njj214&amp;surl=https://d1s5m21q2l18ke.cloudfront.net/v360_mov_grey/&amp;sv=1&amp;displayAllSideview=1&amp;MTA3OTY="/>
    <hyperlink ref="AP9" r:id="rId51" display="https://d1s5m21q2l18ke.cloudfront.net/VISION360/Vision360.html?d=l2ed3njj214&amp;surl=https://d1s5m21q2l18ke.cloudfront.net/v360_mov_black/&amp;sv=1&amp;displayAllSideview=1&amp;MTA3OTY="/>
    <hyperlink ref="AQ9" r:id="rId52" display="https://d1s5m21q2l18ke.cloudfront.net/v360_mov/l2ed3njj214.HTML?sv=1&amp;displayAllSideview=1&amp;MTA3OTY="/>
    <hyperlink ref="AR9" r:id="rId53" display="https://d1s5m21q2l18ke.cloudfront.net/grey_mov_video/l2ed3njj214.MP4?MTA3OTY="/>
    <hyperlink ref="AS9" r:id="rId54" display="https://d1s5m21q2l18ke.cloudfront.net/plotting.html?l2ed3njj214"/>
    <hyperlink ref="AT9" r:id="rId55" display="https://d1g2oudknjs8jf.cloudfront.net/prodpolweb/fl_img/l2ed3njj214.PNG?MTA3OTY="/>
    <hyperlink ref="AV9" r:id="rId56" display="https://dyffw9lb8wur6.cloudfront.net/v360videos/l2ed3njj214.MP4?MTA3OTY="/>
    <hyperlink ref="AW9" r:id="rId57" display="https://d1g2oudknjs8jf.cloudfront.net/prodpolweb/asetimage/l2ed3njj214.JPG?MTA3OTY="/>
    <hyperlink ref="D10" r:id="rId58" display="GIA"/>
    <hyperlink ref="AK10" r:id="rId59" display="https://d1g2oudknjs8jf.cloudfront.net/prodpolweb/imgg_file/f6fb7pjj23.JPG?MTA3OTY="/>
    <hyperlink ref="AO10" r:id="rId60" display="https://d1s5m21q2l18ke.cloudfront.net/VISION360/Vision360.html?d=f6fb7pjj23&amp;surl=https://d1s5m21q2l18ke.cloudfront.net/v360_mov_grey/&amp;sv=1&amp;displayAllSideview=1&amp;MTA3OTY="/>
    <hyperlink ref="AP10" r:id="rId61" display="https://d1s5m21q2l18ke.cloudfront.net/VISION360/Vision360.html?d=f6fb7pjj23&amp;surl=https://d1s5m21q2l18ke.cloudfront.net/v360_mov_black/&amp;sv=1&amp;displayAllSideview=1&amp;MTA3OTY="/>
    <hyperlink ref="AQ10" r:id="rId62" display="https://d1s5m21q2l18ke.cloudfront.net/v360_mov/f6fb7pjj23.HTML?sv=1&amp;displayAllSideview=1&amp;MTA3OTY="/>
    <hyperlink ref="AR10" r:id="rId63" display="https://d1s5m21q2l18ke.cloudfront.net/grey_mov_video/f6fb7pjj23.MP4?MTA3OTY="/>
    <hyperlink ref="AS10" r:id="rId64" display="https://d1s5m21q2l18ke.cloudfront.net/plotting.html?f6fb7pjj23"/>
    <hyperlink ref="AV10" r:id="rId65" display="https://dyffw9lb8wur6.cloudfront.net/v360videos/f6fb7pjj23.MP4?MTA3OTY="/>
    <hyperlink ref="AW10" r:id="rId66" display="https://d1g2oudknjs8jf.cloudfront.net/prodpolweb/asetimage/f6fb7pjj23.JPG?MTA3OTY="/>
    <hyperlink ref="D11" r:id="rId67" display="GIA"/>
    <hyperlink ref="AK11" r:id="rId68" display="https://d1g2oudknjs8jf.cloudfront.net/prodpolweb/imgfiles/j3db5nhi05.JPG?MTA3OTY="/>
    <hyperlink ref="AO11" r:id="rId69" display="https://d1s5m21q2l18ke.cloudfront.net/VISION360/Vision360.html?d=j3db5nhi05&amp;surl=https://d1s5m21q2l18ke.cloudfront.net/v360_mov_white/&amp;sv=1&amp;displayAllSideview=1&amp;MTA3OTY="/>
    <hyperlink ref="AP11" r:id="rId70" display="https://d1s5m21q2l18ke.cloudfront.net/VISION360/Vision360.html?d=j3db5nhi05&amp;surl=https://d1s5m21q2l18ke.cloudfront.net/v360_mov_black/&amp;sv=1&amp;displayAllSideview=1&amp;MTA3OTY="/>
    <hyperlink ref="AQ11" r:id="rId71" display="https://d1s5m21q2l18ke.cloudfront.net/v360_mov/j3db5nhi05.HTML?sv=1&amp;displayAllSideview=1&amp;MTA3OTY="/>
    <hyperlink ref="AR11" r:id="rId72" display="https://d1s5m21q2l18ke.cloudfront.net/white_mov_video/j3db5nhi05.MP4?MTA3OTY="/>
    <hyperlink ref="AS11" r:id="rId73" display="https://d1s5m21q2l18ke.cloudfront.net/plotting.html?j3db5nhi05"/>
    <hyperlink ref="AT11" r:id="rId74" display="https://d1g2oudknjs8jf.cloudfront.net/prodpolweb/fl_img/j3db5nhi05.JPG?MTA3OTY="/>
    <hyperlink ref="AV11" r:id="rId75" display="https://dyffw9lb8wur6.cloudfront.net/v360videos/j3db5nhi05.MP4?MTA3OTY="/>
    <hyperlink ref="AW11" r:id="rId76" display="https://d1g2oudknjs8jf.cloudfront.net/prodpolweb/asetimage/j3db5nhi05.JPG?MTA3OTY="/>
    <hyperlink ref="D12" r:id="rId77" display="GIA"/>
    <hyperlink ref="AK12" r:id="rId78" display="https://d1g2oudknjs8jf.cloudfront.net/prodpolweb/imgfiles/f10ib7nhi06.JPG?MTA3OTY="/>
    <hyperlink ref="AO12" r:id="rId79" display="https://d1s5m21q2l18ke.cloudfront.net/VISION360/Vision360.html?d=f10ib7nhi06&amp;surl=https://d1s5m21q2l18ke.cloudfront.net/v360_mov_white/&amp;sv=1&amp;displayAllSideview=1&amp;MTA3OTY="/>
    <hyperlink ref="AP12" r:id="rId80" display="https://d1s5m21q2l18ke.cloudfront.net/VISION360/Vision360.html?d=f10ib7nhi06&amp;surl=https://d1s5m21q2l18ke.cloudfront.net/v360_mov_black/&amp;sv=1&amp;displayAllSideview=1&amp;MTA3OTY="/>
    <hyperlink ref="AQ12" r:id="rId81" display="https://d1s5m21q2l18ke.cloudfront.net/v360_mov/f10ib7nhi06.HTML?sv=1&amp;displayAllSideview=1&amp;MTA3OTY="/>
    <hyperlink ref="AR12" r:id="rId82" display="https://d1s5m21q2l18ke.cloudfront.net/white_mov_video/f10ib7nhi06.MP4?MTA3OTY="/>
    <hyperlink ref="AS12" r:id="rId83" display="https://d1s5m21q2l18ke.cloudfront.net/plotting.html?f10ib7nhi06"/>
    <hyperlink ref="AV12" r:id="rId84" display="https://dyffw9lb8wur6.cloudfront.net/v360videos/f10ib7nhi06.MP4?MTA3OTY="/>
    <hyperlink ref="AW12" r:id="rId85" display="https://d1g2oudknjs8jf.cloudfront.net/prodpolweb/asetimage/f10ib7nhi06.JPG?MTA3OTY="/>
    <hyperlink ref="D13" r:id="rId86" display="GIA"/>
    <hyperlink ref="AK13" r:id="rId87" display="https://d1g2oudknjs8jf.cloudfront.net/prodpolweb/imgg_file/f1jd3nhj27.JPG?MTA3OTY="/>
    <hyperlink ref="AO13" r:id="rId88" display="https://d1s5m21q2l18ke.cloudfront.net/VISION360/Vision360.html?d=f1jd3nhj27&amp;surl=https://d1s5m21q2l18ke.cloudfront.net/v360_mov_grey/&amp;sv=1&amp;displayAllSideview=1&amp;MTA3OTY="/>
    <hyperlink ref="AP13" r:id="rId89" display="https://d1s5m21q2l18ke.cloudfront.net/VISION360/Vision360.html?d=f1jd3nhj27&amp;surl=https://d1s5m21q2l18ke.cloudfront.net/v360_mov_black/&amp;sv=1&amp;displayAllSideview=1&amp;MTA3OTY="/>
    <hyperlink ref="AQ13" r:id="rId90" display="https://d1s5m21q2l18ke.cloudfront.net/v360_mov/f1jd3nhj27.HTML?sv=1&amp;displayAllSideview=1&amp;MTA3OTY="/>
    <hyperlink ref="AR13" r:id="rId91" display="https://d1s5m21q2l18ke.cloudfront.net/grey_mov_video/f1jd3nhj27.MP4?MTA3OTY="/>
    <hyperlink ref="AS13" r:id="rId92" display="https://d1s5m21q2l18ke.cloudfront.net/plotting.html?f1jd3nhj27"/>
    <hyperlink ref="AV13" r:id="rId93" display="https://dyffw9lb8wur6.cloudfront.net/v360videos/f1jd3nhj27.MP4?MTA3OTY="/>
    <hyperlink ref="AW13" r:id="rId94" display="https://d1g2oudknjs8jf.cloudfront.net/prodpolweb/asetimage/f1jd3nhj27.JPG?MTA3OTY="/>
    <hyperlink ref="D14" r:id="rId95" display="GIA"/>
    <hyperlink ref="AK14" r:id="rId96" display="https://d1g2oudknjs8jf.cloudfront.net/prodpolweb/imgg_file/n7lb5nhj281.JPG?MTA3OTY="/>
    <hyperlink ref="AO14" r:id="rId97" display="https://d1s5m21q2l18ke.cloudfront.net/VISION360/Vision360.html?d=n7lb5nhj281&amp;surl=https://d1s5m21q2l18ke.cloudfront.net/v360_mov_grey/&amp;sv=1&amp;displayAllSideview=1&amp;MTA3OTY="/>
    <hyperlink ref="AP14" r:id="rId98" display="https://d1s5m21q2l18ke.cloudfront.net/VISION360/Vision360.html?d=n7lb5nhj281&amp;surl=https://d1s5m21q2l18ke.cloudfront.net/v360_mov_black/&amp;sv=1&amp;displayAllSideview=1&amp;MTA3OTY="/>
    <hyperlink ref="AQ14" r:id="rId99" display="https://d1s5m21q2l18ke.cloudfront.net/v360_mov/n7lb5nhj281.HTML?sv=1&amp;displayAllSideview=1&amp;MTA3OTY="/>
    <hyperlink ref="AR14" r:id="rId100" display="https://d1s5m21q2l18ke.cloudfront.net/grey_mov_video/n7lb5nhj281.MP4?MTA3OTY="/>
    <hyperlink ref="AS14" r:id="rId101" display="https://d1s5m21q2l18ke.cloudfront.net/plotting.html?n7lb5nhj281"/>
    <hyperlink ref="AT14" r:id="rId102" display="https://d1g2oudknjs8jf.cloudfront.net/prodpolweb/fl_img/n7lb5nhj281.PNG?MTA3OTY="/>
    <hyperlink ref="AV14" r:id="rId103" display="https://dyffw9lb8wur6.cloudfront.net/v360videos/n7lb5nhj281.MP4?MTA3OTY="/>
    <hyperlink ref="AW14" r:id="rId104" display="https://d1g2oudknjs8jf.cloudfront.net/prodpolweb/asetimage/n7lb5nhj281.JPG?MTA3OTY="/>
    <hyperlink ref="D15" r:id="rId105" display="GIA"/>
    <hyperlink ref="AK15" r:id="rId106" display="https://d1g2oudknjs8jf.cloudfront.net/prodpolweb/imgfiles/h9eb11ohi06.JPG?MTA3OTY="/>
    <hyperlink ref="AO15" r:id="rId107" display="https://d1s5m21q2l18ke.cloudfront.net/VISION360/Vision360.html?d=h9eb11ohi06&amp;surl=https://d1s5m21q2l18ke.cloudfront.net/v360_mov_white/&amp;sv=1&amp;displayAllSideview=1&amp;MTA3OTY="/>
    <hyperlink ref="AP15" r:id="rId108" display="https://d1s5m21q2l18ke.cloudfront.net/VISION360/Vision360.html?d=h9eb11ohi06&amp;surl=https://d1s5m21q2l18ke.cloudfront.net/v360_mov_black/&amp;sv=1&amp;displayAllSideview=1&amp;MTA3OTY="/>
    <hyperlink ref="AQ15" r:id="rId109" display="https://d1s5m21q2l18ke.cloudfront.net/v360_mov/h9eb11ohi06.HTML?sv=1&amp;displayAllSideview=1&amp;MTA3OTY="/>
    <hyperlink ref="AR15" r:id="rId110" display="https://d1s5m21q2l18ke.cloudfront.net/white_mov_video/h9eb11ohi06.MP4?MTA3OTY="/>
    <hyperlink ref="AS15" r:id="rId111" display="https://d1s5m21q2l18ke.cloudfront.net/plotting.html?h9eb11ohi06"/>
    <hyperlink ref="AT15" r:id="rId112" display="https://d1g2oudknjs8jf.cloudfront.net/prodpolweb/fl_img/h9eb11ohi06.PNG?MTA3OTY="/>
    <hyperlink ref="AV15" r:id="rId113" display="https://dyffw9lb8wur6.cloudfront.net/v360videos/h9eb11ohi06.MP4?MTA3OTY="/>
    <hyperlink ref="AW15" r:id="rId114" display="https://d1g2oudknjs8jf.cloudfront.net/prodpolweb/asetimage/h9eb11ohi06.JPG?MTA3OTY="/>
    <hyperlink ref="D16" r:id="rId115" display="GIA"/>
    <hyperlink ref="AK16" r:id="rId116" display="https://d1g2oudknjs8jf.cloudfront.net/prodpolweb/imgg_file/n3ed5nhj218.JPG?MTA3OTY="/>
    <hyperlink ref="AO16" r:id="rId117" display="https://d1s5m21q2l18ke.cloudfront.net/VISION360/Vision360.html?d=n3ed5nhj218&amp;surl=https://d1s5m21q2l18ke.cloudfront.net/v360_mov_grey/&amp;sv=1&amp;displayAllSideview=1&amp;MTA3OTY="/>
    <hyperlink ref="AP16" r:id="rId118" display="https://d1s5m21q2l18ke.cloudfront.net/VISION360/Vision360.html?d=n3ed5nhj218&amp;surl=https://d1s5m21q2l18ke.cloudfront.net/v360_mov_black/&amp;sv=1&amp;displayAllSideview=1&amp;MTA3OTY="/>
    <hyperlink ref="AQ16" r:id="rId119" display="https://d1s5m21q2l18ke.cloudfront.net/v360_mov/n3ed5nhj218.HTML?sv=1&amp;displayAllSideview=1&amp;MTA3OTY="/>
    <hyperlink ref="AR16" r:id="rId120" display="https://d1s5m21q2l18ke.cloudfront.net/grey_mov_video/n3ed5nhj218.MP4?MTA3OTY="/>
    <hyperlink ref="AS16" r:id="rId121" display="https://d1s5m21q2l18ke.cloudfront.net/plotting.html?n3ed5nhj218"/>
    <hyperlink ref="AT16" r:id="rId122" display="https://d1g2oudknjs8jf.cloudfront.net/prodpolweb/fl_img/n3ed5nhj218.PNG?MTA3OTY="/>
    <hyperlink ref="AV16" r:id="rId123" display="https://dyffw9lb8wur6.cloudfront.net/v360videos/n3ed5nhj218.MP4?MTA3OTY="/>
    <hyperlink ref="AW16" r:id="rId124" display="https://d1g2oudknjs8jf.cloudfront.net/prodpolweb/asetimage/n3ed5nhj218.JPG?MTA3OTY="/>
    <hyperlink ref="D17" r:id="rId125" display="GIA"/>
    <hyperlink ref="AK17" r:id="rId126" display="https://d1g2oudknjs8jf.cloudfront.net/prodpolweb/imgg_file/h1lb7kjj227.JPG?MTA3OTY="/>
    <hyperlink ref="AO17" r:id="rId127" display="https://d1s5m21q2l18ke.cloudfront.net/VISION360/Vision360.html?d=h1lb7kjj227&amp;surl=https://d1s5m21q2l18ke.cloudfront.net/v360_mov_grey/&amp;sv=1&amp;displayAllSideview=1&amp;MTA3OTY="/>
    <hyperlink ref="AP17" r:id="rId128" display="https://d1s5m21q2l18ke.cloudfront.net/VISION360/Vision360.html?d=h1lb7kjj227&amp;surl=https://d1s5m21q2l18ke.cloudfront.net/v360_mov_black/&amp;sv=1&amp;displayAllSideview=1&amp;MTA3OTY="/>
    <hyperlink ref="AQ17" r:id="rId129" display="https://d1s5m21q2l18ke.cloudfront.net/v360_mov/h1lb7kjj227.HTML?sv=1&amp;displayAllSideview=1&amp;MTA3OTY="/>
    <hyperlink ref="AR17" r:id="rId130" display="https://d1s5m21q2l18ke.cloudfront.net/grey_mov_video/h1lb7kjj227.MP4?MTA3OTY="/>
    <hyperlink ref="AS17" r:id="rId131" display="https://d1s5m21q2l18ke.cloudfront.net/plotting.html?h1lb7kjj227"/>
    <hyperlink ref="AT17" r:id="rId132" display="https://d1g2oudknjs8jf.cloudfront.net/prodpolweb/fl_img/h1lb7kjj227.PNG?MTA3OTY="/>
    <hyperlink ref="AV17" r:id="rId133" display="https://dyffw9lb8wur6.cloudfront.net/v360videos/h1lb7kjj227.MP4?MTA3OTY="/>
    <hyperlink ref="AW17" r:id="rId134" display="https://d1g2oudknjs8jf.cloudfront.net/prodpolweb/asetimage/h1lb7kjj227.JPG?MTA3OTY="/>
    <hyperlink ref="D18" r:id="rId135" display="GIA"/>
    <hyperlink ref="AK18" r:id="rId136" display="https://d1g2oudknjs8jf.cloudfront.net/prodpolweb/imgg_file/l10cb11lmj20.JPG?MTA3OTY="/>
    <hyperlink ref="AO18" r:id="rId137" display="https://d1s5m21q2l18ke.cloudfront.net/VISION360/Vision360.html?d=l10cb11lmj20&amp;surl=https://d1s5m21q2l18ke.cloudfront.net/v360_mov_grey/&amp;sv=1&amp;displayAllSideview=1&amp;MTA3OTY="/>
    <hyperlink ref="AP18" r:id="rId138" display="https://d1s5m21q2l18ke.cloudfront.net/VISION360/Vision360.html?d=l10cb11lmj20&amp;surl=https://d1s5m21q2l18ke.cloudfront.net/v360_mov_black/&amp;sv=1&amp;displayAllSideview=1&amp;MTA3OTY="/>
    <hyperlink ref="AQ18" r:id="rId139" display="https://d1s5m21q2l18ke.cloudfront.net/v360_mov/l10cb11lmj20.HTML?sv=1&amp;displayAllSideview=1&amp;MTA3OTY="/>
    <hyperlink ref="AR18" r:id="rId140" display="https://d1s5m21q2l18ke.cloudfront.net/grey_mov_video/l10cb11lmj20.MP4?MTA3OTY="/>
    <hyperlink ref="AS18" r:id="rId141" display="https://d1s5m21q2l18ke.cloudfront.net/plotting.html?l10cb11lmj20"/>
    <hyperlink ref="AV18" r:id="rId142" display="https://dyffw9lb8wur6.cloudfront.net/v360videos/l10cb11lmj20.MP4?MTA3OTY="/>
    <hyperlink ref="AW18" r:id="rId143" display="https://d1g2oudknjs8jf.cloudfront.net/prodpolweb/asetimage/l10cb11lmj20.JPG?MTA3OTY="/>
    <hyperlink ref="D19" r:id="rId144" display="GIA"/>
    <hyperlink ref="AK19" r:id="rId145" display="https://d1g2oudknjs8jf.cloudfront.net/prodpolweb/imgfiles/l9fb3phi021.JPG?MTA3OTY="/>
    <hyperlink ref="AO19" r:id="rId146" display="https://d1s5m21q2l18ke.cloudfront.net/VISION360/Vision360.html?d=l9fb3phi021&amp;surl=https://d1s5m21q2l18ke.cloudfront.net/v360_mov_white/&amp;sv=1&amp;displayAllSideview=1&amp;MTA3OTY="/>
    <hyperlink ref="AP19" r:id="rId147" display="https://d1s5m21q2l18ke.cloudfront.net/VISION360/Vision360.html?d=l9fb3phi021&amp;surl=https://d1s5m21q2l18ke.cloudfront.net/v360_mov_black/&amp;sv=1&amp;displayAllSideview=1&amp;MTA3OTY="/>
    <hyperlink ref="AQ19" r:id="rId148" display="https://d1s5m21q2l18ke.cloudfront.net/v360_mov/l9fb3phi021.HTML?sv=1&amp;displayAllSideview=1&amp;MTA3OTY="/>
    <hyperlink ref="AR19" r:id="rId149" display="https://d1s5m21q2l18ke.cloudfront.net/white_mov_video/l9fb3phi021.MP4?MTA3OTY="/>
    <hyperlink ref="AS19" r:id="rId150" display="https://d1s5m21q2l18ke.cloudfront.net/plotting.html?l9fb3phi021"/>
    <hyperlink ref="AV19" r:id="rId151" display="https://dyffw9lb8wur6.cloudfront.net/v360videos/l9fb3phi021.MP4?MTA3OTY="/>
    <hyperlink ref="AW19" r:id="rId152" display="https://d1g2oudknjs8jf.cloudfront.net/prodpolweb/asetimage/l9fb3phi021.JPG?MTA3OTY="/>
    <hyperlink ref="D20" r:id="rId153" display="GIA"/>
    <hyperlink ref="AK20" r:id="rId154" display="https://d1g2oudknjs8jf.cloudfront.net/prodpolweb/imgg_file/h9db3tgj23.JPG?MTA3OTY="/>
    <hyperlink ref="AO20" r:id="rId155" display="https://d1s5m21q2l18ke.cloudfront.net/VISION360/Vision360.html?d=h9db3tgj23&amp;surl=https://d1s5m21q2l18ke.cloudfront.net/v360_mov_grey/&amp;sv=1&amp;displayAllSideview=1&amp;MTA3OTY="/>
    <hyperlink ref="AP20" r:id="rId156" display="https://d1s5m21q2l18ke.cloudfront.net/VISION360/Vision360.html?d=h9db3tgj23&amp;surl=https://d1s5m21q2l18ke.cloudfront.net/v360_mov_black/&amp;sv=1&amp;displayAllSideview=1&amp;MTA3OTY="/>
    <hyperlink ref="AQ20" r:id="rId157" display="https://d1s5m21q2l18ke.cloudfront.net/v360_mov/h9db3tgj23.HTML?sv=1&amp;displayAllSideview=1&amp;MTA3OTY="/>
    <hyperlink ref="AR20" r:id="rId158" display="https://d1s5m21q2l18ke.cloudfront.net/grey_mov_video/h9db3tgj23.MP4?MTA3OTY="/>
    <hyperlink ref="AS20" r:id="rId159" display="https://d1s5m21q2l18ke.cloudfront.net/plotting.html?h9db3tgj23"/>
    <hyperlink ref="AT20" r:id="rId160" display="https://d1g2oudknjs8jf.cloudfront.net/prodpolweb/fl_img/h9db3tgj23.PNG?MTA3OTY="/>
    <hyperlink ref="AV20" r:id="rId161" display="https://dyffw9lb8wur6.cloudfront.net/v360videos/h9db3tgj23.MP4?MTA3OTY="/>
    <hyperlink ref="AW20" r:id="rId162" display="https://d1g2oudknjs8jf.cloudfront.net/prodpolweb/asetimage/h9db3tgj23.JPG?MTA3OTY="/>
    <hyperlink ref="D21" r:id="rId163" display="GIA"/>
    <hyperlink ref="AK21" r:id="rId164" display="https://d1g2oudknjs8jf.cloudfront.net/prodpolweb/imgg_file/l6db3mij27.JPG?MTA3OTY="/>
    <hyperlink ref="AO21" r:id="rId165" display="https://d1s5m21q2l18ke.cloudfront.net/VISION360/Vision360.html?d=l6db3mij27&amp;surl=https://d1s5m21q2l18ke.cloudfront.net/v360_mov_grey/&amp;sv=1&amp;displayAllSideview=1&amp;MTA3OTY="/>
    <hyperlink ref="AP21" r:id="rId166" display="https://d1s5m21q2l18ke.cloudfront.net/VISION360/Vision360.html?d=l6db3mij27&amp;surl=https://d1s5m21q2l18ke.cloudfront.net/v360_mov_black/&amp;sv=1&amp;displayAllSideview=1&amp;MTA3OTY="/>
    <hyperlink ref="AQ21" r:id="rId167" display="https://d1s5m21q2l18ke.cloudfront.net/v360_mov/l6db3mij27.HTML?sv=1&amp;displayAllSideview=1&amp;MTA3OTY="/>
    <hyperlink ref="AR21" r:id="rId168" display="https://d1s5m21q2l18ke.cloudfront.net/grey_mov_video/l6db3mij27.MP4?MTA3OTY="/>
    <hyperlink ref="AS21" r:id="rId169" display="https://d1s5m21q2l18ke.cloudfront.net/plotting.html?l6db3mij27"/>
    <hyperlink ref="AV21" r:id="rId170" display="https://dyffw9lb8wur6.cloudfront.net/v360videos/l6db3mij27.MP4?MTA3OTY="/>
    <hyperlink ref="AW21" r:id="rId171" display="https://d1g2oudknjs8jf.cloudfront.net/prodpolweb/asetimage/l6db3mij27.JPG?MTA3OTY="/>
    <hyperlink ref="D22" r:id="rId172" display="GIA"/>
    <hyperlink ref="AK22" r:id="rId173" display="https://d1g2oudknjs8jf.cloudfront.net/prodpolweb/imgg_file/f6db9qfj21.JPG?MTA3OTY="/>
    <hyperlink ref="AO22" r:id="rId174" display="https://d1s5m21q2l18ke.cloudfront.net/VISION360/Vision360.html?d=f6db9qfj21&amp;surl=https://d1s5m21q2l18ke.cloudfront.net/v360_mov_grey/&amp;sv=1&amp;displayAllSideview=1&amp;MTA3OTY="/>
    <hyperlink ref="AP22" r:id="rId175" display="https://d1s5m21q2l18ke.cloudfront.net/VISION360/Vision360.html?d=f6db9qfj21&amp;surl=https://d1s5m21q2l18ke.cloudfront.net/v360_mov_black/&amp;sv=1&amp;displayAllSideview=1&amp;MTA3OTY="/>
    <hyperlink ref="AQ22" r:id="rId176" display="https://d1s5m21q2l18ke.cloudfront.net/v360_mov/f6db9qfj21.HTML?sv=1&amp;displayAllSideview=1&amp;MTA3OTY="/>
    <hyperlink ref="AR22" r:id="rId177" display="https://d1s5m21q2l18ke.cloudfront.net/grey_mov_video/f6db9qfj21.MP4?MTA3OTY="/>
    <hyperlink ref="AS22" r:id="rId178" display="https://d1s5m21q2l18ke.cloudfront.net/plotting.html?f6db9qfj21"/>
    <hyperlink ref="AV22" r:id="rId179" display="https://dyffw9lb8wur6.cloudfront.net/v360videos/f6db9qfj21.MP4?MTA3OTY="/>
    <hyperlink ref="AW22" r:id="rId180" display="https://d1g2oudknjs8jf.cloudfront.net/prodpolweb/asetimage/f6db9qfj21.JPG?MTA3OTY="/>
    <hyperlink ref="D23" r:id="rId181" display="GIA"/>
    <hyperlink ref="AK23" r:id="rId182" display="https://d1g2oudknjs8jf.cloudfront.net/prodpolweb/imgg_file/f2ic5oij26.JPG?MTA3OTY="/>
    <hyperlink ref="AO23" r:id="rId183" display="https://d1s5m21q2l18ke.cloudfront.net/VISION360/Vision360.html?d=f2ic5oij26&amp;surl=https://d1s5m21q2l18ke.cloudfront.net/v360_mov_grey/&amp;sv=1&amp;displayAllSideview=1&amp;MTA3OTY="/>
    <hyperlink ref="AP23" r:id="rId184" display="https://d1s5m21q2l18ke.cloudfront.net/VISION360/Vision360.html?d=f2ic5oij26&amp;surl=https://d1s5m21q2l18ke.cloudfront.net/v360_mov_black/&amp;sv=1&amp;displayAllSideview=1&amp;MTA3OTY="/>
    <hyperlink ref="AQ23" r:id="rId185" display="https://d1s5m21q2l18ke.cloudfront.net/v360_mov/f2ic5oij26.HTML?sv=1&amp;displayAllSideview=1&amp;MTA3OTY="/>
    <hyperlink ref="AR23" r:id="rId186" display="https://d1s5m21q2l18ke.cloudfront.net/grey_mov_video/f2ic5oij26.MP4?MTA3OTY="/>
    <hyperlink ref="AS23" r:id="rId187" display="https://d1s5m21q2l18ke.cloudfront.net/plotting.html?f2ic5oij26"/>
    <hyperlink ref="AV23" r:id="rId188" display="https://dyffw9lb8wur6.cloudfront.net/v360videos/f2ic5oij26.MP4?MTA3OTY="/>
    <hyperlink ref="AW23" r:id="rId189" display="https://d1g2oudknjs8jf.cloudfront.net/prodpolweb/asetimage/f2ic5oij26.JPG?MTA3OTY="/>
    <hyperlink ref="D24" r:id="rId190" display="GIA"/>
    <hyperlink ref="AK24" r:id="rId191" display="https://d1g2oudknjs8jf.cloudfront.net/prodpolweb/imgg_file/f10fb11pjj23.JPG?MTA3OTY="/>
    <hyperlink ref="AO24" r:id="rId192" display="https://d1s5m21q2l18ke.cloudfront.net/VISION360/Vision360.html?d=f10fb11pjj23&amp;surl=https://d1s5m21q2l18ke.cloudfront.net/v360_mov_grey/&amp;sv=1&amp;displayAllSideview=1&amp;MTA3OTY="/>
    <hyperlink ref="AP24" r:id="rId193" display="https://d1s5m21q2l18ke.cloudfront.net/VISION360/Vision360.html?d=f10fb11pjj23&amp;surl=https://d1s5m21q2l18ke.cloudfront.net/v360_mov_black/&amp;sv=1&amp;displayAllSideview=1&amp;MTA3OTY="/>
    <hyperlink ref="AQ24" r:id="rId194" display="https://d1s5m21q2l18ke.cloudfront.net/v360_mov/f10fb11pjj23.HTML?sv=1&amp;displayAllSideview=1&amp;MTA3OTY="/>
    <hyperlink ref="AR24" r:id="rId195" display="https://d1s5m21q2l18ke.cloudfront.net/grey_mov_video/f10fb11pjj23.MP4?MTA3OTY="/>
    <hyperlink ref="AS24" r:id="rId196" display="https://d1s5m21q2l18ke.cloudfront.net/plotting.html?f10fb11pjj23"/>
    <hyperlink ref="AV24" r:id="rId197" display="https://dyffw9lb8wur6.cloudfront.net/v360videos/f10fb11pjj23.MP4?MTA3OTY="/>
    <hyperlink ref="AW24" r:id="rId198" display="https://d1g2oudknjs8jf.cloudfront.net/prodpolweb/asetimage/f10fb11pjj23.JPG?MTA3OTY="/>
    <hyperlink ref="D25" r:id="rId199" display="GIA"/>
    <hyperlink ref="AK25" r:id="rId200" display="https://d1g2oudknjs8jf.cloudfront.net/prodpolweb/imgg_file/f4cc3pkj20.JPG?MTA3OTY="/>
    <hyperlink ref="AO25" r:id="rId201" display="https://d1s5m21q2l18ke.cloudfront.net/VISION360/Vision360.html?d=f4cc3pkj20&amp;surl=https://d1s5m21q2l18ke.cloudfront.net/v360_mov_grey/&amp;sv=1&amp;displayAllSideview=1&amp;MTA3OTY="/>
    <hyperlink ref="AP25" r:id="rId202" display="https://d1s5m21q2l18ke.cloudfront.net/VISION360/Vision360.html?d=f4cc3pkj20&amp;surl=https://d1s5m21q2l18ke.cloudfront.net/v360_mov_black/&amp;sv=1&amp;displayAllSideview=1&amp;MTA3OTY="/>
    <hyperlink ref="AQ25" r:id="rId203" display="https://d1s5m21q2l18ke.cloudfront.net/v360_mov/f4cc3pkj20.HTML?sv=1&amp;displayAllSideview=1&amp;MTA3OTY="/>
    <hyperlink ref="AR25" r:id="rId204" display="https://d1s5m21q2l18ke.cloudfront.net/grey_mov_video/f4cc3pkj20.MP4?MTA3OTY="/>
    <hyperlink ref="AS25" r:id="rId205" display="https://d1s5m21q2l18ke.cloudfront.net/plotting.html?f4cc3pkj20"/>
    <hyperlink ref="AV25" r:id="rId206" display="https://dyffw9lb8wur6.cloudfront.net/v360videos/f4cc3pkj20.MP4?MTA3OTY="/>
    <hyperlink ref="AW25" r:id="rId207" display="https://d1g2oudknjs8jf.cloudfront.net/prodpolweb/asetimage/f4cc3pkj20.JPG?MTA3OTY="/>
    <hyperlink ref="D26" r:id="rId208" display="GIA"/>
    <hyperlink ref="AK26" r:id="rId209" display="https://d1g2oudknjs8jf.cloudfront.net/prodpolweb/imgg_file/h5fb11pjj29.JPG?MTA3OTY="/>
    <hyperlink ref="AO26" r:id="rId210" display="https://d1s5m21q2l18ke.cloudfront.net/VISION360/Vision360.html?d=h5fb11pjj29&amp;surl=https://d1s5m21q2l18ke.cloudfront.net/v360_mov_grey/&amp;sv=1&amp;displayAllSideview=1&amp;MTA3OTY="/>
    <hyperlink ref="AP26" r:id="rId211" display="https://d1s5m21q2l18ke.cloudfront.net/VISION360/Vision360.html?d=h5fb11pjj29&amp;surl=https://d1s5m21q2l18ke.cloudfront.net/v360_mov_black/&amp;sv=1&amp;displayAllSideview=1&amp;MTA3OTY="/>
    <hyperlink ref="AQ26" r:id="rId212" display="https://d1s5m21q2l18ke.cloudfront.net/v360_mov/h5fb11pjj29.HTML?sv=1&amp;displayAllSideview=1&amp;MTA3OTY="/>
    <hyperlink ref="AR26" r:id="rId213" display="https://d1s5m21q2l18ke.cloudfront.net/grey_mov_video/h5fb11pjj29.MP4?MTA3OTY="/>
    <hyperlink ref="AS26" r:id="rId214" display="https://d1s5m21q2l18ke.cloudfront.net/plotting.html?h5fb11pjj29"/>
    <hyperlink ref="AV26" r:id="rId215" display="https://dyffw9lb8wur6.cloudfront.net/v360videos/h5fb11pjj29.MP4?MTA3OTY="/>
    <hyperlink ref="AW26" r:id="rId216" display="https://d1g2oudknjs8jf.cloudfront.net/prodpolweb/asetimage/h5fb11pjj29.JPG?MTA3OTY="/>
    <hyperlink ref="D27" r:id="rId217" display="GIA"/>
    <hyperlink ref="AK27" r:id="rId218" display="https://d1g2oudknjs8jf.cloudfront.net/prodpolweb/imgg_file/l8cb7lgj20.JPG?MTA3OTY="/>
    <hyperlink ref="AO27" r:id="rId219" display="https://d1s5m21q2l18ke.cloudfront.net/VISION360/Vision360.html?d=l8cb7lgj20&amp;surl=https://d1s5m21q2l18ke.cloudfront.net/v360_mov_grey/&amp;sv=1&amp;displayAllSideview=1&amp;MTA3OTY="/>
    <hyperlink ref="AP27" r:id="rId220" display="https://d1s5m21q2l18ke.cloudfront.net/VISION360/Vision360.html?d=l8cb7lgj20&amp;surl=https://d1s5m21q2l18ke.cloudfront.net/v360_mov_black/&amp;sv=1&amp;displayAllSideview=1&amp;MTA3OTY="/>
    <hyperlink ref="AQ27" r:id="rId221" display="https://d1s5m21q2l18ke.cloudfront.net/v360_mov/l8cb7lgj20.HTML?sv=1&amp;displayAllSideview=1&amp;MTA3OTY="/>
    <hyperlink ref="AR27" r:id="rId222" display="https://d1s5m21q2l18ke.cloudfront.net/grey_mov_video/l8cb7lgj20.MP4?MTA3OTY="/>
    <hyperlink ref="AS27" r:id="rId223" display="https://d1s5m21q2l18ke.cloudfront.net/plotting.html?l8cb7lgj20"/>
    <hyperlink ref="AV27" r:id="rId224" display="https://dyffw9lb8wur6.cloudfront.net/v360videos/l8cb7lgj20.MP4?MTA3OTY="/>
    <hyperlink ref="AW27" r:id="rId225" display="https://d1g2oudknjs8jf.cloudfront.net/prodpolweb/asetimage/l8cb7lgj20.JPG?MTA3OTY="/>
    <hyperlink ref="D28" r:id="rId226" display="GIA"/>
    <hyperlink ref="AK28" r:id="rId227" display="https://d1g2oudknjs8jf.cloudfront.net/prodpolweb/imgg_file/n2db7sfj29.JPG?MTA3OTY="/>
    <hyperlink ref="AO28" r:id="rId228" display="https://d1s5m21q2l18ke.cloudfront.net/VISION360/Vision360.html?d=n2db7sfj29&amp;surl=https://d1s5m21q2l18ke.cloudfront.net/v360_mov_grey/&amp;sv=1&amp;displayAllSideview=1&amp;MTA3OTY="/>
    <hyperlink ref="AP28" r:id="rId229" display="https://d1s5m21q2l18ke.cloudfront.net/VISION360/Vision360.html?d=n2db7sfj29&amp;surl=https://d1s5m21q2l18ke.cloudfront.net/v360_mov_black/&amp;sv=1&amp;displayAllSideview=1&amp;MTA3OTY="/>
    <hyperlink ref="AQ28" r:id="rId230" display="https://d1s5m21q2l18ke.cloudfront.net/v360_mov/n2db7sfj29.HTML?sv=1&amp;displayAllSideview=1&amp;MTA3OTY="/>
    <hyperlink ref="AR28" r:id="rId231" display="https://d1s5m21q2l18ke.cloudfront.net/grey_mov_video/n2db7sfj29.MP4?MTA3OTY="/>
    <hyperlink ref="AS28" r:id="rId232" display="https://d1s5m21q2l18ke.cloudfront.net/plotting.html?n2db7sfj29"/>
    <hyperlink ref="AT28" r:id="rId233" display="https://d1g2oudknjs8jf.cloudfront.net/prodpolweb/fl_img/n2db7sfj29.JPG?MTA3OTY="/>
    <hyperlink ref="AV28" r:id="rId234" display="https://dyffw9lb8wur6.cloudfront.net/v360videos/n2db7sfj29.MP4?MTA3OTY="/>
    <hyperlink ref="AW28" r:id="rId235" display="https://d1g2oudknjs8jf.cloudfront.net/prodpolweb/asetimage/n2db7sfj29.JPG?MTA3OTY="/>
    <hyperlink ref="D29" r:id="rId236" display="GIA"/>
    <hyperlink ref="AK29" r:id="rId237" display="https://d1g2oudknjs8jf.cloudfront.net/prodpolweb/imgg_file/l7eb7ljj214.JPG?MTA3OTY="/>
    <hyperlink ref="AO29" r:id="rId238" display="https://d1s5m21q2l18ke.cloudfront.net/VISION360/Vision360.html?d=l7eb7ljj214&amp;surl=https://d1s5m21q2l18ke.cloudfront.net/v360_mov_grey/&amp;sv=1&amp;displayAllSideview=1&amp;MTA3OTY="/>
    <hyperlink ref="AP29" r:id="rId239" display="https://d1s5m21q2l18ke.cloudfront.net/VISION360/Vision360.html?d=l7eb7ljj214&amp;surl=https://d1s5m21q2l18ke.cloudfront.net/v360_mov_black/&amp;sv=1&amp;displayAllSideview=1&amp;MTA3OTY="/>
    <hyperlink ref="AQ29" r:id="rId240" display="https://d1s5m21q2l18ke.cloudfront.net/v360_mov/l7eb7ljj214.HTML?sv=1&amp;displayAllSideview=1&amp;MTA3OTY="/>
    <hyperlink ref="AR29" r:id="rId241" display="https://d1s5m21q2l18ke.cloudfront.net/grey_mov_video/l7eb7ljj214.MP4?MTA3OTY="/>
    <hyperlink ref="AS29" r:id="rId242" display="https://d1s5m21q2l18ke.cloudfront.net/plotting.html?l7eb7ljj214"/>
    <hyperlink ref="AV29" r:id="rId243" display="https://dyffw9lb8wur6.cloudfront.net/v360videos/l7eb7ljj214.MP4?MTA3OTY="/>
    <hyperlink ref="AW29" r:id="rId244" display="https://d1g2oudknjs8jf.cloudfront.net/prodpolweb/asetimage/l7eb7ljj214.JPG?MTA3OTY="/>
    <hyperlink ref="D30" r:id="rId245" display="GIA"/>
    <hyperlink ref="AK30" r:id="rId246" display="https://d1g2oudknjs8jf.cloudfront.net/prodpolweb/imgg_file/h10lb5mlj227.JPG?MTA3OTY="/>
    <hyperlink ref="AO30" r:id="rId247" display="https://d1s5m21q2l18ke.cloudfront.net/VISION360/Vision360.html?d=h10lb5mlj227&amp;surl=https://d1s5m21q2l18ke.cloudfront.net/v360_mov_grey/&amp;sv=1&amp;displayAllSideview=1&amp;MTA3OTY="/>
    <hyperlink ref="AP30" r:id="rId248" display="https://d1s5m21q2l18ke.cloudfront.net/VISION360/Vision360.html?d=h10lb5mlj227&amp;surl=https://d1s5m21q2l18ke.cloudfront.net/v360_mov_black/&amp;sv=1&amp;displayAllSideview=1&amp;MTA3OTY="/>
    <hyperlink ref="AQ30" r:id="rId249" display="https://d1s5m21q2l18ke.cloudfront.net/v360_mov/h10lb5mlj227.HTML?sv=1&amp;displayAllSideview=1&amp;MTA3OTY="/>
    <hyperlink ref="AR30" r:id="rId250" display="https://d1s5m21q2l18ke.cloudfront.net/grey_mov_video/h10lb5mlj227.MP4?MTA3OTY="/>
    <hyperlink ref="AS30" r:id="rId251" display="https://d1s5m21q2l18ke.cloudfront.net/plotting.html?h10lb5mlj227"/>
    <hyperlink ref="AV30" r:id="rId252" display="https://dyffw9lb8wur6.cloudfront.net/v360videos/h10lb5mlj227.MP4?MTA3OTY="/>
    <hyperlink ref="AW30" r:id="rId253" display="https://d1g2oudknjs8jf.cloudfront.net/prodpolweb/asetimage/h10lb5mlj227.JPG?MTA3OTY="/>
    <hyperlink ref="D31" r:id="rId254" display="GIA"/>
    <hyperlink ref="AK31" r:id="rId255" display="https://d1g2oudknjs8jf.cloudfront.net/prodpolweb/imgfiles/h8gb5nhi012.JPG?MTA3OTY="/>
    <hyperlink ref="AO31" r:id="rId256" display="https://d1s5m21q2l18ke.cloudfront.net/VISION360/Vision360.html?d=h8gb5nhi012&amp;surl=https://d1s5m21q2l18ke.cloudfront.net/v360_mov_white/&amp;sv=1&amp;displayAllSideview=1&amp;MTA3OTY="/>
    <hyperlink ref="AP31" r:id="rId257" display="https://d1s5m21q2l18ke.cloudfront.net/VISION360/Vision360.html?d=h8gb5nhi012&amp;surl=https://d1s5m21q2l18ke.cloudfront.net/v360_mov_black/&amp;sv=1&amp;displayAllSideview=1&amp;MTA3OTY="/>
    <hyperlink ref="AQ31" r:id="rId258" display="https://d1s5m21q2l18ke.cloudfront.net/v360_mov/h8gb5nhi012.HTML?sv=1&amp;displayAllSideview=1&amp;MTA3OTY="/>
    <hyperlink ref="AR31" r:id="rId259" display="https://d1s5m21q2l18ke.cloudfront.net/white_mov_video/h8gb5nhi012.MP4?MTA3OTY="/>
    <hyperlink ref="AS31" r:id="rId260" display="https://d1s5m21q2l18ke.cloudfront.net/plotting.html?h8gb5nhi012"/>
    <hyperlink ref="AV31" r:id="rId261" display="https://dyffw9lb8wur6.cloudfront.net/v360videos/h8gb5nhi012.MP4?MTA3OTY="/>
    <hyperlink ref="AW31" r:id="rId262" display="https://d1g2oudknjs8jf.cloudfront.net/prodpolweb/asetimage/h8gb5nhi012.JPG?MTA3OTY="/>
    <hyperlink ref="D32" r:id="rId263" display="GIA"/>
    <hyperlink ref="AK32" r:id="rId264" display="https://d1g2oudknjs8jf.cloudfront.net/prodpolweb/imgg_file/h1jd3nhj221.JPG?MTA3OTY="/>
    <hyperlink ref="AO32" r:id="rId265" display="https://d1s5m21q2l18ke.cloudfront.net/VISION360/Vision360.html?d=h1jd3nhj221&amp;surl=https://d1s5m21q2l18ke.cloudfront.net/v360_mov_grey/&amp;sv=1&amp;displayAllSideview=1&amp;MTA3OTY="/>
    <hyperlink ref="AP32" r:id="rId266" display="https://d1s5m21q2l18ke.cloudfront.net/VISION360/Vision360.html?d=h1jd3nhj221&amp;surl=https://d1s5m21q2l18ke.cloudfront.net/v360_mov_black/&amp;sv=1&amp;displayAllSideview=1&amp;MTA3OTY="/>
    <hyperlink ref="AQ32" r:id="rId267" display="https://d1s5m21q2l18ke.cloudfront.net/v360_mov/h1jd3nhj221.HTML?sv=1&amp;displayAllSideview=1&amp;MTA3OTY="/>
    <hyperlink ref="AR32" r:id="rId268" display="https://d1s5m21q2l18ke.cloudfront.net/grey_mov_video/h1jd3nhj221.MP4?MTA3OTY="/>
    <hyperlink ref="AS32" r:id="rId269" display="https://d1s5m21q2l18ke.cloudfront.net/plotting.html?h1jd3nhj221"/>
    <hyperlink ref="AV32" r:id="rId270" display="https://dyffw9lb8wur6.cloudfront.net/v360videos/h1jd3nhj221.MP4?MTA3OTY="/>
    <hyperlink ref="AW32" r:id="rId271" display="https://d1g2oudknjs8jf.cloudfront.net/prodpolweb/asetimage/h1jd3nhj221.JPG?MTA3OTY="/>
    <hyperlink ref="D33" r:id="rId272" display="GIA"/>
    <hyperlink ref="AK33" r:id="rId273" display="https://d1g2oudknjs8jf.cloudfront.net/prodpolweb/imgg_file/f8hb3qjj25.JPG?MTA3OTY="/>
    <hyperlink ref="AO33" r:id="rId274" display="https://d1s5m21q2l18ke.cloudfront.net/VISION360/Vision360.html?d=f8hb3qjj25&amp;surl=https://d1s5m21q2l18ke.cloudfront.net/v360_mov_grey/&amp;sv=1&amp;displayAllSideview=1&amp;MTA3OTY="/>
    <hyperlink ref="AP33" r:id="rId275" display="https://d1s5m21q2l18ke.cloudfront.net/VISION360/Vision360.html?d=f8hb3qjj25&amp;surl=https://d1s5m21q2l18ke.cloudfront.net/v360_mov_black/&amp;sv=1&amp;displayAllSideview=1&amp;MTA3OTY="/>
    <hyperlink ref="AQ33" r:id="rId276" display="https://d1s5m21q2l18ke.cloudfront.net/v360_mov/f8hb3qjj25.HTML?sv=1&amp;displayAllSideview=1&amp;MTA3OTY="/>
    <hyperlink ref="AR33" r:id="rId277" display="https://d1s5m21q2l18ke.cloudfront.net/grey_mov_video/f8hb3qjj25.MP4?MTA3OTY="/>
    <hyperlink ref="AS33" r:id="rId278" display="https://d1s5m21q2l18ke.cloudfront.net/plotting.html?f8hb3qjj25"/>
    <hyperlink ref="AV33" r:id="rId279" display="https://dyffw9lb8wur6.cloudfront.net/v360videos/f8hb3qjj25.MP4?MTA3OTY="/>
    <hyperlink ref="AW33" r:id="rId280" display="https://d1g2oudknjs8jf.cloudfront.net/prodpolweb/asetimage/f8hb3qjj25.JPG?MTA3OTY="/>
    <hyperlink ref="D34" r:id="rId281" display="GIA"/>
    <hyperlink ref="AK34" r:id="rId282" display="https://d1g2oudknjs8jf.cloudfront.net/prodpolweb/imgg_file/n4eb11kkj218.JPG?MTA3OTY="/>
    <hyperlink ref="AO34" r:id="rId283" display="https://d1s5m21q2l18ke.cloudfront.net/VISION360/Vision360.html?d=n4eb11kkj218&amp;surl=https://d1s5m21q2l18ke.cloudfront.net/v360_mov_grey/&amp;sv=1&amp;displayAllSideview=1&amp;MTA3OTY="/>
    <hyperlink ref="AP34" r:id="rId284" display="https://d1s5m21q2l18ke.cloudfront.net/VISION360/Vision360.html?d=n4eb11kkj218&amp;surl=https://d1s5m21q2l18ke.cloudfront.net/v360_mov_black/&amp;sv=1&amp;displayAllSideview=1&amp;MTA3OTY="/>
    <hyperlink ref="AQ34" r:id="rId285" display="https://d1s5m21q2l18ke.cloudfront.net/v360_mov/n4eb11kkj218.HTML?sv=1&amp;displayAllSideview=1&amp;MTA3OTY="/>
    <hyperlink ref="AR34" r:id="rId286" display="https://d1s5m21q2l18ke.cloudfront.net/grey_mov_video/n4eb11kkj218.MP4?MTA3OTY="/>
    <hyperlink ref="AS34" r:id="rId287" display="https://d1s5m21q2l18ke.cloudfront.net/plotting.html?n4eb11kkj218"/>
    <hyperlink ref="AV34" r:id="rId288" display="https://dyffw9lb8wur6.cloudfront.net/v360videos/n4eb11kkj218.MP4?MTA3OTY="/>
    <hyperlink ref="AW34" r:id="rId289" display="https://d1g2oudknjs8jf.cloudfront.net/prodpolweb/asetimage/n4eb11kkj218.JPG?MTA3OTY="/>
    <hyperlink ref="D35" r:id="rId290" display="GIA"/>
    <hyperlink ref="AK35" r:id="rId291" display="https://d1g2oudknjs8jf.cloudfront.net/prodpolweb/imgg_file/h7fb7thj29.JPG?MTA3OTY="/>
    <hyperlink ref="AO35" r:id="rId292" display="https://d1s5m21q2l18ke.cloudfront.net/VISION360/Vision360.html?d=h7fb7thj29&amp;surl=https://d1s5m21q2l18ke.cloudfront.net/v360_mov_grey/&amp;sv=1&amp;displayAllSideview=1&amp;MTA3OTY="/>
    <hyperlink ref="AP35" r:id="rId293" display="https://d1s5m21q2l18ke.cloudfront.net/VISION360/Vision360.html?d=h7fb7thj29&amp;surl=https://d1s5m21q2l18ke.cloudfront.net/v360_mov_black/&amp;sv=1&amp;displayAllSideview=1&amp;MTA3OTY="/>
    <hyperlink ref="AQ35" r:id="rId294" display="https://d1s5m21q2l18ke.cloudfront.net/v360_mov/h7fb7thj29.HTML?sv=1&amp;displayAllSideview=1&amp;MTA3OTY="/>
    <hyperlink ref="AR35" r:id="rId295" display="https://d1s5m21q2l18ke.cloudfront.net/grey_mov_video/h7fb7thj29.MP4?MTA3OTY="/>
    <hyperlink ref="AS35" r:id="rId296" display="https://d1s5m21q2l18ke.cloudfront.net/plotting.html?h7fb7thj29"/>
    <hyperlink ref="AV35" r:id="rId297" display="https://dyffw9lb8wur6.cloudfront.net/v360videos/h7fb7thj29.MP4?MTA3OTY="/>
    <hyperlink ref="AW35" r:id="rId298" display="https://d1g2oudknjs8jf.cloudfront.net/prodpolweb/asetimage/h7fb7thj29.JPG?MTA3OTY="/>
    <hyperlink ref="D36" r:id="rId299" display="GIA"/>
    <hyperlink ref="AK36" r:id="rId300" display="https://d1g2oudknjs8jf.cloudfront.net/prodpolweb/imgg_file/l5lb5pkj263.JPG?MTA3OTY="/>
    <hyperlink ref="AO36" r:id="rId301" display="https://d1s5m21q2l18ke.cloudfront.net/VISION360/Vision360.html?d=l5lb5pkj263&amp;surl=https://d1s5m21q2l18ke.cloudfront.net/v360_mov_grey/&amp;sv=1&amp;displayAllSideview=1&amp;MTA3OTY="/>
    <hyperlink ref="AP36" r:id="rId302" display="https://d1s5m21q2l18ke.cloudfront.net/VISION360/Vision360.html?d=l5lb5pkj263&amp;surl=https://d1s5m21q2l18ke.cloudfront.net/v360_mov_black/&amp;sv=1&amp;displayAllSideview=1&amp;MTA3OTY="/>
    <hyperlink ref="AQ36" r:id="rId303" display="https://d1s5m21q2l18ke.cloudfront.net/v360_mov/l5lb5pkj263.HTML?sv=1&amp;displayAllSideview=1&amp;MTA3OTY="/>
    <hyperlink ref="AR36" r:id="rId304" display="https://d1s5m21q2l18ke.cloudfront.net/grey_mov_video/l5lb5pkj263.MP4?MTA3OTY="/>
    <hyperlink ref="AS36" r:id="rId305" display="https://d1s5m21q2l18ke.cloudfront.net/plotting.html?l5lb5pkj263"/>
    <hyperlink ref="AV36" r:id="rId306" display="https://dyffw9lb8wur6.cloudfront.net/v360videos/l5lb5pkj263.MP4?MTA3OTY="/>
    <hyperlink ref="AW36" r:id="rId307" display="https://d1g2oudknjs8jf.cloudfront.net/prodpolweb/asetimage/l5lb5pkj263.JPG?MTA3OTY="/>
    <hyperlink ref="D37" r:id="rId308" display="GIA"/>
    <hyperlink ref="AK37" r:id="rId309" display="https://d1g2oudknjs8jf.cloudfront.net/prodpolweb/imgg_file/l2jb3qjj249.JPG?MTA3OTY="/>
    <hyperlink ref="AO37" r:id="rId310" display="https://d1s5m21q2l18ke.cloudfront.net/VISION360/Vision360.html?d=l2jb3qjj249&amp;surl=https://d1s5m21q2l18ke.cloudfront.net/v360_mov_grey/&amp;sv=1&amp;displayAllSideview=1&amp;MTA3OTY="/>
    <hyperlink ref="AP37" r:id="rId311" display="https://d1s5m21q2l18ke.cloudfront.net/VISION360/Vision360.html?d=l2jb3qjj249&amp;surl=https://d1s5m21q2l18ke.cloudfront.net/v360_mov_black/&amp;sv=1&amp;displayAllSideview=1&amp;MTA3OTY="/>
    <hyperlink ref="AQ37" r:id="rId312" display="https://d1s5m21q2l18ke.cloudfront.net/v360_mov/l2jb3qjj249.HTML?sv=1&amp;displayAllSideview=1&amp;MTA3OTY="/>
    <hyperlink ref="AR37" r:id="rId313" display="https://d1s5m21q2l18ke.cloudfront.net/grey_mov_video/l2jb3qjj249.MP4?MTA3OTY="/>
    <hyperlink ref="AS37" r:id="rId314" display="https://d1s5m21q2l18ke.cloudfront.net/plotting.html?l2jb3qjj249"/>
    <hyperlink ref="AV37" r:id="rId315" display="https://dyffw9lb8wur6.cloudfront.net/v360videos/l2jb3qjj249.MP4?MTA3OTY="/>
    <hyperlink ref="AW37" r:id="rId316" display="https://d1g2oudknjs8jf.cloudfront.net/prodpolweb/asetimage/l2jb3qjj249.JPG?MTA3OTY="/>
    <hyperlink ref="D38" r:id="rId317" display="GIA"/>
    <hyperlink ref="AK38" r:id="rId318" display="https://d1g2oudknjs8jf.cloudfront.net/prodpolweb/imgfiles/n10fb3phi027.JPG?MTA3OTY="/>
    <hyperlink ref="AO38" r:id="rId319" display="https://d1s5m21q2l18ke.cloudfront.net/VISION360/Vision360.html?d=n10fb3phi027&amp;surl=https://d1s5m21q2l18ke.cloudfront.net/v360_mov_white/&amp;sv=1&amp;displayAllSideview=1&amp;MTA3OTY="/>
    <hyperlink ref="AP38" r:id="rId320" display="https://d1s5m21q2l18ke.cloudfront.net/VISION360/Vision360.html?d=n10fb3phi027&amp;surl=https://d1s5m21q2l18ke.cloudfront.net/v360_mov_black/&amp;sv=1&amp;displayAllSideview=1&amp;MTA3OTY="/>
    <hyperlink ref="AQ38" r:id="rId321" display="https://d1s5m21q2l18ke.cloudfront.net/v360_mov/n10fb3phi027.HTML?sv=1&amp;displayAllSideview=1&amp;MTA3OTY="/>
    <hyperlink ref="AR38" r:id="rId322" display="https://d1s5m21q2l18ke.cloudfront.net/white_mov_video/n10fb3phi027.MP4?MTA3OTY="/>
    <hyperlink ref="AS38" r:id="rId323" display="https://d1s5m21q2l18ke.cloudfront.net/plotting.html?n10fb3phi027"/>
    <hyperlink ref="AV38" r:id="rId324" display="https://dyffw9lb8wur6.cloudfront.net/v360videos/n10fb3phi027.MP4?MTA3OTY="/>
    <hyperlink ref="AW38" r:id="rId325" display="https://d1g2oudknjs8jf.cloudfront.net/prodpolweb/asetimage/n10fb3phi027.JPG?MTA3OTY="/>
    <hyperlink ref="D39" r:id="rId326" display="GIA"/>
    <hyperlink ref="AK39" r:id="rId327" display="https://d1g2oudknjs8jf.cloudfront.net/prodpolweb/imgg_file/f3lb5njj29.JPG?MTA3OTY="/>
    <hyperlink ref="AO39" r:id="rId328" display="https://d1s5m21q2l18ke.cloudfront.net/VISION360/Vision360.html?d=f3lb5njj29&amp;surl=https://d1s5m21q2l18ke.cloudfront.net/v360_mov_grey/&amp;sv=1&amp;displayAllSideview=1&amp;MTA3OTY="/>
    <hyperlink ref="AP39" r:id="rId329" display="https://d1s5m21q2l18ke.cloudfront.net/VISION360/Vision360.html?d=f3lb5njj29&amp;surl=https://d1s5m21q2l18ke.cloudfront.net/v360_mov_black/&amp;sv=1&amp;displayAllSideview=1&amp;MTA3OTY="/>
    <hyperlink ref="AQ39" r:id="rId330" display="https://d1s5m21q2l18ke.cloudfront.net/v360_mov/f3lb5njj29.HTML?sv=1&amp;displayAllSideview=1&amp;MTA3OTY="/>
    <hyperlink ref="AR39" r:id="rId331" display="https://d1s5m21q2l18ke.cloudfront.net/grey_mov_video/f3lb5njj29.MP4?MTA3OTY="/>
    <hyperlink ref="AS39" r:id="rId332" display="https://d1s5m21q2l18ke.cloudfront.net/plotting.html?f3lb5njj29"/>
    <hyperlink ref="AT39" r:id="rId333" display="https://d1g2oudknjs8jf.cloudfront.net/prodpolweb/fl_img/f3lb5njj29.PNG?MTA3OTY="/>
    <hyperlink ref="AV39" r:id="rId334" display="https://dyffw9lb8wur6.cloudfront.net/v360videos/f3lb5njj29.MP4?MTA3OTY="/>
    <hyperlink ref="AW39" r:id="rId335" display="https://d1g2oudknjs8jf.cloudfront.net/prodpolweb/asetimage/f3lb5njj29.JPG?MTA3OTY="/>
    <hyperlink ref="D40" r:id="rId336" display="GIA"/>
    <hyperlink ref="AK40" r:id="rId337" display="https://d1g2oudknjs8jf.cloudfront.net/prodpolweb/imgg_file/l4gb3khj228.JPG?MTA3OTY="/>
    <hyperlink ref="AO40" r:id="rId338" display="https://d1s5m21q2l18ke.cloudfront.net/VISION360/Vision360.html?d=l4gb3khj228&amp;surl=https://d1s5m21q2l18ke.cloudfront.net/v360_mov_grey/&amp;sv=1&amp;displayAllSideview=1&amp;MTA3OTY="/>
    <hyperlink ref="AP40" r:id="rId339" display="https://d1s5m21q2l18ke.cloudfront.net/VISION360/Vision360.html?d=l4gb3khj228&amp;surl=https://d1s5m21q2l18ke.cloudfront.net/v360_mov_black/&amp;sv=1&amp;displayAllSideview=1&amp;MTA3OTY="/>
    <hyperlink ref="AQ40" r:id="rId340" display="https://d1s5m21q2l18ke.cloudfront.net/v360_mov/l4gb3khj228.HTML?sv=1&amp;displayAllSideview=1&amp;MTA3OTY="/>
    <hyperlink ref="AR40" r:id="rId341" display="https://d1s5m21q2l18ke.cloudfront.net/grey_mov_video/l4gb3khj228.MP4?MTA3OTY="/>
    <hyperlink ref="AS40" r:id="rId342" display="https://d1s5m21q2l18ke.cloudfront.net/plotting.html?l4gb3khj228"/>
    <hyperlink ref="AV40" r:id="rId343" display="https://dyffw9lb8wur6.cloudfront.net/v360videos/l4gb3khj228.MP4?MTA3OTY="/>
    <hyperlink ref="AW40" r:id="rId344" display="https://d1g2oudknjs8jf.cloudfront.net/prodpolweb/asetimage/l4gb3khj228.JPG?MTA3OTY="/>
    <hyperlink ref="D41" r:id="rId345" display="GIA"/>
    <hyperlink ref="AK41" r:id="rId346" display="https://d1g2oudknjs8jf.cloudfront.net/prodpolweb/imgg_file/j8eb5mlj210.JPG?MTA3OTY="/>
    <hyperlink ref="AO41" r:id="rId347" display="https://d1s5m21q2l18ke.cloudfront.net/VISION360/Vision360.html?d=j8eb5mlj210&amp;surl=https://d1s5m21q2l18ke.cloudfront.net/v360_mov_grey/&amp;sv=1&amp;displayAllSideview=1&amp;MTA3OTY="/>
    <hyperlink ref="AP41" r:id="rId348" display="https://d1s5m21q2l18ke.cloudfront.net/VISION360/Vision360.html?d=j8eb5mlj210&amp;surl=https://d1s5m21q2l18ke.cloudfront.net/v360_mov_black/&amp;sv=1&amp;displayAllSideview=1&amp;MTA3OTY="/>
    <hyperlink ref="AQ41" r:id="rId349" display="https://d1s5m21q2l18ke.cloudfront.net/v360_mov/j8eb5mlj210.HTML?sv=1&amp;displayAllSideview=1&amp;MTA3OTY="/>
    <hyperlink ref="AR41" r:id="rId350" display="https://d1s5m21q2l18ke.cloudfront.net/grey_mov_video/j8eb5mlj210.MP4?MTA3OTY="/>
    <hyperlink ref="AS41" r:id="rId351" display="https://d1s5m21q2l18ke.cloudfront.net/plotting.html?j8eb5mlj210"/>
    <hyperlink ref="AV41" r:id="rId352" display="https://dyffw9lb8wur6.cloudfront.net/v360videos/j8eb5mlj210.MP4?MTA3OTY="/>
    <hyperlink ref="AW41" r:id="rId353" display="https://d1g2oudknjs8jf.cloudfront.net/prodpolweb/asetimage/j8eb5mlj210.JPG?MTA3OTY="/>
    <hyperlink ref="D42" r:id="rId354" display="GIA"/>
    <hyperlink ref="AK42" r:id="rId355" display="https://d1g2oudknjs8jf.cloudfront.net/prodpolweb/imgg_file/l7ec5pkj214.JPG?MTA3OTY="/>
    <hyperlink ref="AO42" r:id="rId356" display="https://d1s5m21q2l18ke.cloudfront.net/VISION360/Vision360.html?d=l7ec5pkj214&amp;surl=https://d1s5m21q2l18ke.cloudfront.net/v360_mov_grey/&amp;sv=1&amp;displayAllSideview=1&amp;MTA3OTY="/>
    <hyperlink ref="AP42" r:id="rId357" display="https://d1s5m21q2l18ke.cloudfront.net/VISION360/Vision360.html?d=l7ec5pkj214&amp;surl=https://d1s5m21q2l18ke.cloudfront.net/v360_mov_black/&amp;sv=1&amp;displayAllSideview=1&amp;MTA3OTY="/>
    <hyperlink ref="AQ42" r:id="rId358" display="https://d1s5m21q2l18ke.cloudfront.net/v360_mov/l7ec5pkj214.HTML?sv=1&amp;displayAllSideview=1&amp;MTA3OTY="/>
    <hyperlink ref="AR42" r:id="rId359" display="https://d1s5m21q2l18ke.cloudfront.net/grey_mov_video/l7ec5pkj214.MP4?MTA3OTY="/>
    <hyperlink ref="AS42" r:id="rId360" display="https://d1s5m21q2l18ke.cloudfront.net/plotting.html?l7ec5pkj214"/>
    <hyperlink ref="AV42" r:id="rId361" display="https://dyffw9lb8wur6.cloudfront.net/v360videos/l7ec5pkj214.MP4?MTA3OTY="/>
    <hyperlink ref="AW42" r:id="rId362" display="https://d1g2oudknjs8jf.cloudfront.net/prodpolweb/asetimage/l7ec5pkj214.JPG?MTA3OTY="/>
    <hyperlink ref="D43" r:id="rId363" display="GIA"/>
    <hyperlink ref="AK43" r:id="rId364" display="https://d1g2oudknjs8jf.cloudfront.net/prodpolweb/imgg_file/j2fb7nij215.JPG?MTA3OTY="/>
    <hyperlink ref="AO43" r:id="rId365" display="https://d1s5m21q2l18ke.cloudfront.net/VISION360/Vision360.html?d=j2fb7nij215&amp;surl=https://d1s5m21q2l18ke.cloudfront.net/v360_mov_grey/&amp;sv=1&amp;displayAllSideview=1&amp;MTA3OTY="/>
    <hyperlink ref="AP43" r:id="rId366" display="https://d1s5m21q2l18ke.cloudfront.net/VISION360/Vision360.html?d=j2fb7nij215&amp;surl=https://d1s5m21q2l18ke.cloudfront.net/v360_mov_black/&amp;sv=1&amp;displayAllSideview=1&amp;MTA3OTY="/>
    <hyperlink ref="AQ43" r:id="rId367" display="https://d1s5m21q2l18ke.cloudfront.net/v360_mov/j2fb7nij215.HTML?sv=1&amp;displayAllSideview=1&amp;MTA3OTY="/>
    <hyperlink ref="AR43" r:id="rId368" display="https://d1s5m21q2l18ke.cloudfront.net/grey_mov_video/j2fb7nij215.MP4?MTA3OTY="/>
    <hyperlink ref="AS43" r:id="rId369" display="https://d1s5m21q2l18ke.cloudfront.net/plotting.html?j2fb7nij215"/>
    <hyperlink ref="AV43" r:id="rId370" display="https://dyffw9lb8wur6.cloudfront.net/v360videos/j2fb7nij215.MP4?MTA3OTY="/>
    <hyperlink ref="AW43" r:id="rId371" display="https://d1g2oudknjs8jf.cloudfront.net/prodpolweb/asetimage/j2fb7nij215.JPG?MTA3OTY="/>
    <hyperlink ref="D44" r:id="rId372" display="GIA"/>
    <hyperlink ref="AK44" r:id="rId373" display="https://d1g2oudknjs8jf.cloudfront.net/prodpolweb/imgg_file/n4cd7oij20.JPG?MTA3OTY="/>
    <hyperlink ref="AO44" r:id="rId374" display="https://d1s5m21q2l18ke.cloudfront.net/VISION360/Vision360.html?d=n4cd7oij20&amp;surl=https://d1s5m21q2l18ke.cloudfront.net/v360_mov_grey/&amp;sv=1&amp;displayAllSideview=1&amp;MTA3OTY="/>
    <hyperlink ref="AP44" r:id="rId375" display="https://d1s5m21q2l18ke.cloudfront.net/VISION360/Vision360.html?d=n4cd7oij20&amp;surl=https://d1s5m21q2l18ke.cloudfront.net/v360_mov_black/&amp;sv=1&amp;displayAllSideview=1&amp;MTA3OTY="/>
    <hyperlink ref="AQ44" r:id="rId376" display="https://d1s5m21q2l18ke.cloudfront.net/v360_mov/n4cd7oij20.HTML?sv=1&amp;displayAllSideview=1&amp;MTA3OTY="/>
    <hyperlink ref="AR44" r:id="rId377" display="https://d1s5m21q2l18ke.cloudfront.net/grey_mov_video/n4cd7oij20.MP4?MTA3OTY="/>
    <hyperlink ref="AS44" r:id="rId378" display="https://d1s5m21q2l18ke.cloudfront.net/plotting.html?n4cd7oij20"/>
    <hyperlink ref="AV44" r:id="rId379" display="https://dyffw9lb8wur6.cloudfront.net/v360videos/n4cd7oij20.MP4?MTA3OTY="/>
    <hyperlink ref="AW44" r:id="rId380" display="https://d1g2oudknjs8jf.cloudfront.net/prodpolweb/asetimage/n4cd7oij20.JPG?MTA3OTY="/>
    <hyperlink ref="D45" r:id="rId381" display="GIA"/>
    <hyperlink ref="AK45" r:id="rId382" display="https://d1g2oudknjs8jf.cloudfront.net/prodpolweb/imgg_file/l1jb5njj249.JPG?MTA3OTY="/>
    <hyperlink ref="AO45" r:id="rId383" display="https://d1s5m21q2l18ke.cloudfront.net/VISION360/Vision360.html?d=l1jb5njj249&amp;surl=https://d1s5m21q2l18ke.cloudfront.net/v360_mov_grey/&amp;sv=1&amp;displayAllSideview=1&amp;MTA3OTY="/>
    <hyperlink ref="AP45" r:id="rId384" display="https://d1s5m21q2l18ke.cloudfront.net/VISION360/Vision360.html?d=l1jb5njj249&amp;surl=https://d1s5m21q2l18ke.cloudfront.net/v360_mov_black/&amp;sv=1&amp;displayAllSideview=1&amp;MTA3OTY="/>
    <hyperlink ref="AQ45" r:id="rId385" display="https://d1s5m21q2l18ke.cloudfront.net/v360_mov/l1jb5njj249.HTML?sv=1&amp;displayAllSideview=1&amp;MTA3OTY="/>
    <hyperlink ref="AR45" r:id="rId386" display="https://d1s5m21q2l18ke.cloudfront.net/grey_mov_video/l1jb5njj249.MP4?MTA3OTY="/>
    <hyperlink ref="AS45" r:id="rId387" display="https://d1s5m21q2l18ke.cloudfront.net/plotting.html?l1jb5njj249"/>
    <hyperlink ref="AV45" r:id="rId388" display="https://dyffw9lb8wur6.cloudfront.net/v360videos/l1jb5njj249.MP4?MTA3OTY="/>
    <hyperlink ref="AW45" r:id="rId389" display="https://d1g2oudknjs8jf.cloudfront.net/prodpolweb/asetimage/l1jb5njj249.JPG?MTA3OTY="/>
    <hyperlink ref="D46" r:id="rId390" display="GIA"/>
    <hyperlink ref="AK46" r:id="rId391" display="https://d1g2oudknjs8jf.cloudfront.net/prodpolweb/imgg_file/j7jc7mjj235.JPG?MTA3OTY="/>
    <hyperlink ref="AO46" r:id="rId392" display="https://d1s5m21q2l18ke.cloudfront.net/VISION360/Vision360.html?d=j7jc7mjj235&amp;surl=https://d1s5m21q2l18ke.cloudfront.net/v360_mov_grey/&amp;sv=1&amp;displayAllSideview=1&amp;MTA3OTY="/>
    <hyperlink ref="AP46" r:id="rId393" display="https://d1s5m21q2l18ke.cloudfront.net/VISION360/Vision360.html?d=j7jc7mjj235&amp;surl=https://d1s5m21q2l18ke.cloudfront.net/v360_mov_black/&amp;sv=1&amp;displayAllSideview=1&amp;MTA3OTY="/>
    <hyperlink ref="AQ46" r:id="rId394" display="https://d1s5m21q2l18ke.cloudfront.net/v360_mov/j7jc7mjj235.HTML?sv=1&amp;displayAllSideview=1&amp;MTA3OTY="/>
    <hyperlink ref="AR46" r:id="rId395" display="https://d1s5m21q2l18ke.cloudfront.net/grey_mov_video/j7jc7mjj235.MP4?MTA3OTY="/>
    <hyperlink ref="AS46" r:id="rId396" display="https://d1s5m21q2l18ke.cloudfront.net/plotting.html?j7jc7mjj235"/>
    <hyperlink ref="AT46" r:id="rId397" display="https://d1g2oudknjs8jf.cloudfront.net/prodpolweb/fl_img/j7jc7mjj235.PNG?MTA3OTY="/>
    <hyperlink ref="AV46" r:id="rId398" display="https://dyffw9lb8wur6.cloudfront.net/v360videos/j7jc7mjj235.MP4?MTA3OTY="/>
    <hyperlink ref="AW46" r:id="rId399" display="https://d1g2oudknjs8jf.cloudfront.net/prodpolweb/asetimage/j7jc7mjj235.JPG?MTA3OTY="/>
    <hyperlink ref="D47" r:id="rId400" display="GIA"/>
    <hyperlink ref="AK47" r:id="rId401" display="https://d1g2oudknjs8jf.cloudfront.net/prodpolweb/imgfiles/l5kb9rli256.JPG?MTA3OTY="/>
    <hyperlink ref="AO47" r:id="rId402" display="https://d1s5m21q2l18ke.cloudfront.net/VISION360/Vision360.html?d=l5kb9rli256&amp;surl=https://d1s5m21q2l18ke.cloudfront.net/v360_mov_white/&amp;sv=1&amp;displayAllSideview=1&amp;MTA3OTY="/>
    <hyperlink ref="AP47" r:id="rId403" display="https://d1s5m21q2l18ke.cloudfront.net/VISION360/Vision360.html?d=l5kb9rli256&amp;surl=https://d1s5m21q2l18ke.cloudfront.net/v360_mov_black/&amp;sv=1&amp;displayAllSideview=1&amp;MTA3OTY="/>
    <hyperlink ref="AQ47" r:id="rId404" display="https://d1s5m21q2l18ke.cloudfront.net/v360_mov/l5kb9rli256.HTML?sv=1&amp;displayAllSideview=1&amp;MTA3OTY="/>
    <hyperlink ref="AR47" r:id="rId405" display="https://d1s5m21q2l18ke.cloudfront.net/white_mov_video/l5kb9rli256.MP4?MTA3OTY="/>
    <hyperlink ref="AS47" r:id="rId406" display="https://d1s5m21q2l18ke.cloudfront.net/plotting.html?l5kb9rli256"/>
    <hyperlink ref="AV47" r:id="rId407" display="https://dyffw9lb8wur6.cloudfront.net/v360videos/l5kb9rli256.MP4?MTA3OTY="/>
    <hyperlink ref="AW47" r:id="rId408" display="https://d1g2oudknjs8jf.cloudfront.net/prodpolweb/asetimage/l5kb9rli256.JPG?MTA3OTY="/>
    <hyperlink ref="D48" r:id="rId409" display="GIA"/>
    <hyperlink ref="AK48" r:id="rId410" display="https://d1g2oudknjs8jf.cloudfront.net/prodpolweb/imgg_file/f1kb5mjj28.JPG?MTA3OTY="/>
    <hyperlink ref="AO48" r:id="rId411" display="https://d1s5m21q2l18ke.cloudfront.net/VISION360/Vision360.html?d=f1kb5mjj28&amp;surl=https://d1s5m21q2l18ke.cloudfront.net/v360_mov_grey/&amp;sv=1&amp;displayAllSideview=1&amp;MTA3OTY="/>
    <hyperlink ref="AP48" r:id="rId412" display="https://d1s5m21q2l18ke.cloudfront.net/VISION360/Vision360.html?d=f1kb5mjj28&amp;surl=https://d1s5m21q2l18ke.cloudfront.net/v360_mov_black/&amp;sv=1&amp;displayAllSideview=1&amp;MTA3OTY="/>
    <hyperlink ref="AQ48" r:id="rId413" display="https://d1s5m21q2l18ke.cloudfront.net/v360_mov/f1kb5mjj28.HTML?sv=1&amp;displayAllSideview=1&amp;MTA3OTY="/>
    <hyperlink ref="AR48" r:id="rId414" display="https://d1s5m21q2l18ke.cloudfront.net/grey_mov_video/f1kb5mjj28.MP4?MTA3OTY="/>
    <hyperlink ref="AS48" r:id="rId415" display="https://d1s5m21q2l18ke.cloudfront.net/plotting.html?f1kb5mjj28"/>
    <hyperlink ref="AV48" r:id="rId416" display="https://dyffw9lb8wur6.cloudfront.net/v360videos/f1kb5mjj28.MP4?MTA3OTY="/>
    <hyperlink ref="AW48" r:id="rId417" display="https://d1g2oudknjs8jf.cloudfront.net/prodpolweb/asetimage/f1kb5mjj28.JPG?MTA3OTY="/>
    <hyperlink ref="D49" r:id="rId418" display="GIA"/>
    <hyperlink ref="AK49" r:id="rId419" display="https://d1g2oudknjs8jf.cloudfront.net/prodpolweb/imgg_file/h2ed7oij26.JPG?MTA3OTY="/>
    <hyperlink ref="AO49" r:id="rId420" display="https://d1s5m21q2l18ke.cloudfront.net/VISION360/Vision360.html?d=h2ed7oij26&amp;surl=https://d1s5m21q2l18ke.cloudfront.net/v360_mov_grey/&amp;sv=1&amp;displayAllSideview=1&amp;MTA3OTY="/>
    <hyperlink ref="AP49" r:id="rId421" display="https://d1s5m21q2l18ke.cloudfront.net/VISION360/Vision360.html?d=h2ed7oij26&amp;surl=https://d1s5m21q2l18ke.cloudfront.net/v360_mov_black/&amp;sv=1&amp;displayAllSideview=1&amp;MTA3OTY="/>
    <hyperlink ref="AQ49" r:id="rId422" display="https://d1s5m21q2l18ke.cloudfront.net/v360_mov/h2ed7oij26.HTML?sv=1&amp;displayAllSideview=1&amp;MTA3OTY="/>
    <hyperlink ref="AR49" r:id="rId423" display="https://d1s5m21q2l18ke.cloudfront.net/grey_mov_video/h2ed7oij26.MP4?MTA3OTY="/>
    <hyperlink ref="AS49" r:id="rId424" display="https://d1s5m21q2l18ke.cloudfront.net/plotting.html?h2ed7oij26"/>
    <hyperlink ref="AV49" r:id="rId425" display="https://dyffw9lb8wur6.cloudfront.net/v360videos/h2ed7oij26.MP4?MTA3OTY="/>
    <hyperlink ref="AW49" r:id="rId426" display="https://d1g2oudknjs8jf.cloudfront.net/prodpolweb/asetimage/h2ed7oij26.JPG?MTA3OTY="/>
    <hyperlink ref="D50" r:id="rId427" display="GIA"/>
    <hyperlink ref="AK50" r:id="rId428" display="https://d1g2oudknjs8jf.cloudfront.net/prodpolweb/imgg_file/j4gb7pkj220.JPG?MTA3OTY="/>
    <hyperlink ref="AO50" r:id="rId429" display="https://d1s5m21q2l18ke.cloudfront.net/VISION360/Vision360.html?d=j4gb7pkj220&amp;surl=https://d1s5m21q2l18ke.cloudfront.net/v360_mov_grey/&amp;sv=1&amp;displayAllSideview=1&amp;MTA3OTY="/>
    <hyperlink ref="AP50" r:id="rId430" display="https://d1s5m21q2l18ke.cloudfront.net/VISION360/Vision360.html?d=j4gb7pkj220&amp;surl=https://d1s5m21q2l18ke.cloudfront.net/v360_mov_black/&amp;sv=1&amp;displayAllSideview=1&amp;MTA3OTY="/>
    <hyperlink ref="AQ50" r:id="rId431" display="https://d1s5m21q2l18ke.cloudfront.net/v360_mov/j4gb7pkj220.HTML?sv=1&amp;displayAllSideview=1&amp;MTA3OTY="/>
    <hyperlink ref="AR50" r:id="rId432" display="https://d1s5m21q2l18ke.cloudfront.net/grey_mov_video/j4gb7pkj220.MP4?MTA3OTY="/>
    <hyperlink ref="AS50" r:id="rId433" display="https://d1s5m21q2l18ke.cloudfront.net/plotting.html?j4gb7pkj220"/>
    <hyperlink ref="AV50" r:id="rId434" display="https://dyffw9lb8wur6.cloudfront.net/v360videos/j4gb7pkj220.MP4?MTA3OTY="/>
    <hyperlink ref="AW50" r:id="rId435" display="https://d1g2oudknjs8jf.cloudfront.net/prodpolweb/asetimage/j4gb7pkj220.JPG?MTA3OTY="/>
    <hyperlink ref="D51" r:id="rId436" display="GIA"/>
    <hyperlink ref="AK51" r:id="rId437" display="https://d1g2oudknjs8jf.cloudfront.net/prodpolweb/imgg_file/n3eb9okj218.JPG?MTA3OTY="/>
    <hyperlink ref="AO51" r:id="rId438" display="https://d1s5m21q2l18ke.cloudfront.net/VISION360/Vision360.html?d=n3eb9okj218&amp;surl=https://d1s5m21q2l18ke.cloudfront.net/v360_mov_grey/&amp;sv=1&amp;displayAllSideview=1&amp;MTA3OTY="/>
    <hyperlink ref="AP51" r:id="rId439" display="https://d1s5m21q2l18ke.cloudfront.net/VISION360/Vision360.html?d=n3eb9okj218&amp;surl=https://d1s5m21q2l18ke.cloudfront.net/v360_mov_black/&amp;sv=1&amp;displayAllSideview=1&amp;MTA3OTY="/>
    <hyperlink ref="AQ51" r:id="rId440" display="https://d1s5m21q2l18ke.cloudfront.net/v360_mov/n3eb9okj218.HTML?sv=1&amp;displayAllSideview=1&amp;MTA3OTY="/>
    <hyperlink ref="AR51" r:id="rId441" display="https://d1s5m21q2l18ke.cloudfront.net/grey_mov_video/n3eb9okj218.MP4?MTA3OTY="/>
    <hyperlink ref="AS51" r:id="rId442" display="https://d1s5m21q2l18ke.cloudfront.net/plotting.html?n3eb9okj218"/>
    <hyperlink ref="AV51" r:id="rId443" display="https://dyffw9lb8wur6.cloudfront.net/v360videos/n3eb9okj218.MP4?MTA3OTY="/>
    <hyperlink ref="AW51" r:id="rId444" display="https://d1g2oudknjs8jf.cloudfront.net/prodpolweb/asetimage/n3eb9okj218.JPG?MTA3OTY="/>
    <hyperlink ref="D52" r:id="rId445" display="GIA"/>
    <hyperlink ref="AK52" r:id="rId446" display="https://d1g2oudknjs8jf.cloudfront.net/prodpolweb/imgg_file/n8hb9okj245.JPG?MTA3OTY="/>
    <hyperlink ref="AO52" r:id="rId447" display="https://d1s5m21q2l18ke.cloudfront.net/VISION360/Vision360.html?d=n8hb9okj245&amp;surl=https://d1s5m21q2l18ke.cloudfront.net/v360_mov_grey/&amp;sv=1&amp;displayAllSideview=1&amp;MTA3OTY="/>
    <hyperlink ref="AP52" r:id="rId448" display="https://d1s5m21q2l18ke.cloudfront.net/VISION360/Vision360.html?d=n8hb9okj245&amp;surl=https://d1s5m21q2l18ke.cloudfront.net/v360_mov_black/&amp;sv=1&amp;displayAllSideview=1&amp;MTA3OTY="/>
    <hyperlink ref="AQ52" r:id="rId449" display="https://d1s5m21q2l18ke.cloudfront.net/v360_mov/n8hb9okj245.HTML?sv=1&amp;displayAllSideview=1&amp;MTA3OTY="/>
    <hyperlink ref="AR52" r:id="rId450" display="https://d1s5m21q2l18ke.cloudfront.net/grey_mov_video/n8hb9okj245.MP4?MTA3OTY="/>
    <hyperlink ref="AS52" r:id="rId451" display="https://d1s5m21q2l18ke.cloudfront.net/plotting.html?n8hb9okj245"/>
    <hyperlink ref="AV52" r:id="rId452" display="https://dyffw9lb8wur6.cloudfront.net/v360videos/n8hb9okj245.MP4?MTA3OTY="/>
    <hyperlink ref="AW52" r:id="rId453" display="https://d1g2oudknjs8jf.cloudfront.net/prodpolweb/asetimage/n8hb9okj245.JPG?MTA3OTY="/>
    <hyperlink ref="D53" r:id="rId454" display="GIA"/>
    <hyperlink ref="AK53" r:id="rId455" display="https://d1g2oudknjs8jf.cloudfront.net/prodpolweb/imgg_file/j6fb9pjj215.JPG?MTA3OTY="/>
    <hyperlink ref="AO53" r:id="rId456" display="https://d1s5m21q2l18ke.cloudfront.net/VISION360/Vision360.html?d=j6fb9pjj215&amp;surl=https://d1s5m21q2l18ke.cloudfront.net/v360_mov_grey/&amp;sv=1&amp;displayAllSideview=1&amp;MTA3OTY="/>
    <hyperlink ref="AP53" r:id="rId457" display="https://d1s5m21q2l18ke.cloudfront.net/VISION360/Vision360.html?d=j6fb9pjj215&amp;surl=https://d1s5m21q2l18ke.cloudfront.net/v360_mov_black/&amp;sv=1&amp;displayAllSideview=1&amp;MTA3OTY="/>
    <hyperlink ref="AQ53" r:id="rId458" display="https://d1s5m21q2l18ke.cloudfront.net/v360_mov/j6fb9pjj215.HTML?sv=1&amp;displayAllSideview=1&amp;MTA3OTY="/>
    <hyperlink ref="AR53" r:id="rId459" display="https://d1s5m21q2l18ke.cloudfront.net/grey_mov_video/j6fb9pjj215.MP4?MTA3OTY="/>
    <hyperlink ref="AS53" r:id="rId460" display="https://d1s5m21q2l18ke.cloudfront.net/plotting.html?j6fb9pjj215"/>
    <hyperlink ref="AV53" r:id="rId461" display="https://dyffw9lb8wur6.cloudfront.net/v360videos/j6fb9pjj215.MP4?MTA3OTY="/>
    <hyperlink ref="AW53" r:id="rId462" display="https://d1g2oudknjs8jf.cloudfront.net/prodpolweb/asetimage/j6fb9pjj215.JPG?MTA3OTY="/>
    <hyperlink ref="D54" r:id="rId463" display="GIA"/>
    <hyperlink ref="AK54" r:id="rId464" display="https://d1g2oudknjs8jf.cloudfront.net/prodpolweb/imgg_file/l9gb11kmj228.JPG?MTA3OTY="/>
    <hyperlink ref="AO54" r:id="rId465" display="https://d1s5m21q2l18ke.cloudfront.net/VISION360/Vision360.html?d=l9gb11kmj228&amp;surl=https://d1s5m21q2l18ke.cloudfront.net/v360_mov_grey/&amp;sv=1&amp;displayAllSideview=1&amp;MTA3OTY="/>
    <hyperlink ref="AP54" r:id="rId466" display="https://d1s5m21q2l18ke.cloudfront.net/VISION360/Vision360.html?d=l9gb11kmj228&amp;surl=https://d1s5m21q2l18ke.cloudfront.net/v360_mov_black/&amp;sv=1&amp;displayAllSideview=1&amp;MTA3OTY="/>
    <hyperlink ref="AQ54" r:id="rId467" display="https://d1s5m21q2l18ke.cloudfront.net/v360_mov/l9gb11kmj228.HTML?sv=1&amp;displayAllSideview=1&amp;MTA3OTY="/>
    <hyperlink ref="AR54" r:id="rId468" display="https://d1s5m21q2l18ke.cloudfront.net/grey_mov_video/l9gb11kmj228.MP4?MTA3OTY="/>
    <hyperlink ref="AS54" r:id="rId469" display="https://d1s5m21q2l18ke.cloudfront.net/plotting.html?l9gb11kmj228"/>
    <hyperlink ref="AV54" r:id="rId470" display="https://dyffw9lb8wur6.cloudfront.net/v360videos/l9gb11kmj228.MP4?MTA3OTY="/>
    <hyperlink ref="AW54" r:id="rId471" display="https://d1g2oudknjs8jf.cloudfront.net/prodpolweb/asetimage/l9gb11kmj228.JPG?MTA3OTY=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vjXLResult.xlsx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Arsh Sakaria</cp:lastModifiedBy>
  <dcterms:created xsi:type="dcterms:W3CDTF">2026-01-15T20:22:00Z</dcterms:created>
  <dcterms:modified xsi:type="dcterms:W3CDTF">2026-01-22T17:16:44Z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8F003D2AFCF18F40240E7269F070A2CD_43</vt:lpwstr>
  </property>
</Properties>
</file>